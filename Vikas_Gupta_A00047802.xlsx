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C:\Users\lenovo\Desktop\DCU Subjects\Corporate Finance\assignment\"/>
    </mc:Choice>
  </mc:AlternateContent>
  <xr:revisionPtr revIDLastSave="0" documentId="13_ncr:1_{F305A15C-FA27-4C9F-95A1-B1F90E6AB1A4}" xr6:coauthVersionLast="47" xr6:coauthVersionMax="47" xr10:uidLastSave="{00000000-0000-0000-0000-000000000000}"/>
  <bookViews>
    <workbookView xWindow="-110" yWindow="-110" windowWidth="19420" windowHeight="10300" tabRatio="661" firstSheet="1" activeTab="1" xr2:uid="{00000000-000D-0000-FFFF-FFFF00000000}"/>
  </bookViews>
  <sheets>
    <sheet name="Historical_FS" sheetId="1" r:id="rId1"/>
    <sheet name="Valuation" sheetId="2" r:id="rId2"/>
    <sheet name="WACC" sheetId="4" r:id="rId3"/>
    <sheet name="Price to Book Analysis" sheetId="5" r:id="rId4"/>
    <sheet name="Charts" sheetId="3" r:id="rId5"/>
    <sheet name="subsidiaries name" sheetId="9" state="hidden" r:id="rId6"/>
    <sheet name="Summary" sheetId="6" r:id="rId7"/>
    <sheet name="Notes" sheetId="7" r:id="rId8"/>
    <sheet name="References" sheetId="8" r:id="rId9"/>
  </sheets>
  <definedNames>
    <definedName name="_xlchart.v2.0" hidden="1">'Price to Book Analysis'!$A$6:$A$10</definedName>
    <definedName name="_xlchart.v2.1" hidden="1">'Price to Book Analysis'!$B$6:$B$10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 l="1"/>
  <c r="B24" i="3"/>
  <c r="B23" i="3"/>
  <c r="B22" i="3"/>
  <c r="B21" i="3"/>
  <c r="B14" i="5"/>
  <c r="B16" i="5" s="1"/>
  <c r="B18" i="5" s="1"/>
  <c r="B11" i="5"/>
  <c r="B15" i="5" s="1"/>
  <c r="C21" i="2"/>
  <c r="C22" i="2" s="1"/>
  <c r="D21" i="2"/>
  <c r="D22" i="2" s="1"/>
  <c r="E21" i="2"/>
  <c r="E22" i="2" s="1"/>
  <c r="F21" i="2"/>
  <c r="F22" i="2" s="1"/>
  <c r="G21" i="2"/>
  <c r="H21" i="2"/>
  <c r="I21" i="2"/>
  <c r="J21" i="2"/>
  <c r="K21" i="2"/>
  <c r="B21" i="2"/>
  <c r="B22" i="2" s="1"/>
  <c r="F11" i="6"/>
  <c r="B11" i="6"/>
  <c r="F10" i="6"/>
  <c r="F9" i="6"/>
  <c r="F8" i="6"/>
  <c r="F7" i="6"/>
  <c r="B26" i="4"/>
  <c r="B25" i="4"/>
  <c r="B24" i="4"/>
  <c r="B18" i="4"/>
  <c r="B13" i="4"/>
  <c r="C11" i="3"/>
  <c r="C10" i="3"/>
  <c r="C9" i="3"/>
  <c r="C8" i="3"/>
  <c r="C7" i="3"/>
  <c r="B6" i="3"/>
  <c r="B5" i="3"/>
  <c r="B4" i="3"/>
  <c r="B3" i="3"/>
  <c r="B2" i="3"/>
  <c r="F41" i="2"/>
  <c r="E41" i="2"/>
  <c r="D41" i="2"/>
  <c r="C41" i="2"/>
  <c r="B41" i="2"/>
  <c r="F39" i="2"/>
  <c r="K39" i="2" s="1"/>
  <c r="F2" i="7" s="1"/>
  <c r="E39" i="2"/>
  <c r="D39" i="2"/>
  <c r="C39" i="2"/>
  <c r="B39" i="2"/>
  <c r="F38" i="2"/>
  <c r="K38" i="2" s="1"/>
  <c r="E38" i="2"/>
  <c r="E40" i="2" s="1"/>
  <c r="D38" i="2"/>
  <c r="D40" i="2" s="1"/>
  <c r="C38" i="2"/>
  <c r="C40" i="2" s="1"/>
  <c r="B38" i="2"/>
  <c r="B40" i="2" s="1"/>
  <c r="B24" i="2"/>
  <c r="I19" i="2"/>
  <c r="H19" i="2"/>
  <c r="G19" i="2"/>
  <c r="G20" i="2" s="1"/>
  <c r="G22" i="2" s="1"/>
  <c r="G26" i="2" s="1"/>
  <c r="K18" i="2"/>
  <c r="K19" i="2" s="1"/>
  <c r="J18" i="2"/>
  <c r="J19" i="2" s="1"/>
  <c r="J20" i="2" s="1"/>
  <c r="J22" i="2" s="1"/>
  <c r="J26" i="2" s="1"/>
  <c r="I18" i="2"/>
  <c r="H18" i="2"/>
  <c r="G18" i="2"/>
  <c r="F18" i="2"/>
  <c r="E18" i="2"/>
  <c r="D18" i="2"/>
  <c r="C18" i="2"/>
  <c r="B18" i="2"/>
  <c r="K13" i="2"/>
  <c r="K14" i="2" s="1"/>
  <c r="J13" i="2"/>
  <c r="J14" i="2" s="1"/>
  <c r="I13" i="2"/>
  <c r="H13" i="2"/>
  <c r="G13" i="2"/>
  <c r="F13" i="2"/>
  <c r="E13" i="2"/>
  <c r="D13" i="2"/>
  <c r="C13" i="2"/>
  <c r="B13" i="2"/>
  <c r="K9" i="2"/>
  <c r="J9" i="2"/>
  <c r="I9" i="2"/>
  <c r="H9" i="2"/>
  <c r="G9" i="2"/>
  <c r="F9" i="2"/>
  <c r="E9" i="2"/>
  <c r="D9" i="2"/>
  <c r="C9" i="2"/>
  <c r="G27" i="1"/>
  <c r="F27" i="1"/>
  <c r="E27" i="1"/>
  <c r="D27" i="1"/>
  <c r="C27" i="1"/>
  <c r="G15" i="1"/>
  <c r="G19" i="1" s="1"/>
  <c r="G21" i="1" s="1"/>
  <c r="F15" i="1"/>
  <c r="F19" i="1" s="1"/>
  <c r="F21" i="1" s="1"/>
  <c r="E15" i="1"/>
  <c r="E19" i="1" s="1"/>
  <c r="E21" i="1" s="1"/>
  <c r="D15" i="1"/>
  <c r="D19" i="1" s="1"/>
  <c r="D21" i="1" s="1"/>
  <c r="C15" i="1"/>
  <c r="C19" i="1" s="1"/>
  <c r="C21" i="1" s="1"/>
  <c r="G10" i="1"/>
  <c r="F10" i="1"/>
  <c r="E10" i="1"/>
  <c r="D10" i="1"/>
  <c r="C10" i="1"/>
  <c r="F40" i="2" l="1"/>
  <c r="F14" i="2"/>
  <c r="C14" i="2"/>
  <c r="D14" i="2"/>
  <c r="E14" i="2"/>
  <c r="G14" i="2"/>
  <c r="H14" i="2"/>
  <c r="I14" i="2"/>
  <c r="H20" i="2"/>
  <c r="H22" i="2" s="1"/>
  <c r="H26" i="2" s="1"/>
  <c r="I20" i="2"/>
  <c r="I22" i="2" s="1"/>
  <c r="I26" i="2" s="1"/>
  <c r="K20" i="2"/>
  <c r="K22" i="2" s="1"/>
  <c r="I38" i="2"/>
  <c r="G41" i="2"/>
  <c r="J41" i="2"/>
  <c r="G39" i="2"/>
  <c r="G38" i="2"/>
  <c r="G40" i="2" s="1"/>
  <c r="I39" i="2"/>
  <c r="H39" i="2"/>
  <c r="H38" i="2"/>
  <c r="H40" i="2" s="1"/>
  <c r="J39" i="2"/>
  <c r="J38" i="2"/>
  <c r="J40" i="2" s="1"/>
  <c r="K41" i="2" l="1"/>
  <c r="K40" i="2"/>
  <c r="B27" i="2"/>
  <c r="K26" i="2"/>
  <c r="B28" i="2" s="1"/>
  <c r="B29" i="2" s="1"/>
  <c r="B31" i="2" s="1"/>
  <c r="I40" i="2"/>
  <c r="I41" i="2"/>
  <c r="H41" i="2"/>
  <c r="D12" i="7"/>
  <c r="E12" i="7"/>
  <c r="C12" i="7"/>
  <c r="F12" i="7"/>
  <c r="C24" i="5"/>
  <c r="B8" i="6"/>
  <c r="D8" i="6" s="1"/>
  <c r="B12" i="7"/>
  <c r="B24" i="5" l="1"/>
  <c r="B26" i="5" s="1"/>
  <c r="B7" i="6"/>
  <c r="D7" i="6" s="1"/>
  <c r="B9" i="6" s="1"/>
  <c r="B12" i="6" s="1"/>
  <c r="C14" i="7"/>
  <c r="C16" i="7"/>
  <c r="C15" i="7"/>
  <c r="C13" i="7"/>
  <c r="E15" i="7"/>
  <c r="E13" i="7"/>
  <c r="E16" i="7"/>
  <c r="E14" i="7"/>
  <c r="F15" i="7"/>
  <c r="F13" i="7"/>
  <c r="F14" i="7"/>
  <c r="F16" i="7"/>
  <c r="B14" i="7"/>
  <c r="B15" i="7"/>
  <c r="B13" i="7"/>
  <c r="B16" i="7"/>
  <c r="D14" i="7"/>
  <c r="D13" i="7"/>
  <c r="D16" i="7"/>
  <c r="D15" i="7"/>
  <c r="G16" i="7" l="1"/>
  <c r="G14" i="7"/>
  <c r="G15" i="7"/>
  <c r="G13" i="7"/>
  <c r="B8" i="7" l="1"/>
  <c r="B5" i="7"/>
  <c r="B7" i="7"/>
  <c r="B4" i="7"/>
  <c r="B6" i="7"/>
  <c r="D8" i="7"/>
  <c r="D5" i="7"/>
  <c r="D7" i="7"/>
  <c r="D4" i="7"/>
  <c r="D6" i="7"/>
  <c r="C6" i="7"/>
  <c r="C8" i="7"/>
  <c r="C5" i="7"/>
  <c r="C7" i="7"/>
  <c r="C4" i="7"/>
  <c r="E7" i="7"/>
  <c r="E4" i="7"/>
  <c r="E5" i="7"/>
  <c r="E8" i="7"/>
  <c r="E6" i="7"/>
</calcChain>
</file>

<file path=xl/sharedStrings.xml><?xml version="1.0" encoding="utf-8"?>
<sst xmlns="http://schemas.openxmlformats.org/spreadsheetml/2006/main" count="317" uniqueCount="265">
  <si>
    <t>Section</t>
  </si>
  <si>
    <t>Item</t>
  </si>
  <si>
    <t>FY2021</t>
  </si>
  <si>
    <t>FY2022</t>
  </si>
  <si>
    <t>FY2023</t>
  </si>
  <si>
    <t>FY2024</t>
  </si>
  <si>
    <t>FY2025</t>
  </si>
  <si>
    <t>Balance Sheet</t>
  </si>
  <si>
    <t>Deposits</t>
  </si>
  <si>
    <t>Advances</t>
  </si>
  <si>
    <t>Investments</t>
  </si>
  <si>
    <t>Total Assets</t>
  </si>
  <si>
    <t>Total Equity / Net Worth</t>
  </si>
  <si>
    <t>Number of Shares (units)</t>
  </si>
  <si>
    <t>Borrowings</t>
  </si>
  <si>
    <t>Cash &amp; Bank Balances</t>
  </si>
  <si>
    <t>Net Debt / (Net Cash)</t>
  </si>
  <si>
    <t>Income Statement</t>
  </si>
  <si>
    <t>Interest Earned</t>
  </si>
  <si>
    <t>Interest Expended</t>
  </si>
  <si>
    <t>Net Interest Income</t>
  </si>
  <si>
    <t>Fee Income</t>
  </si>
  <si>
    <t>Other Non-Interest Income</t>
  </si>
  <si>
    <t>Operating Expenses (Opex)</t>
  </si>
  <si>
    <t>Operating Profit (Pre-Provisions)</t>
  </si>
  <si>
    <t>Provisions &amp; Contingencies</t>
  </si>
  <si>
    <t>Profit Before Tax (PBT)</t>
  </si>
  <si>
    <t>Tax Provision</t>
  </si>
  <si>
    <t>Net Profit (PAT)</t>
  </si>
  <si>
    <t>Earnings Per Share (EPS)</t>
  </si>
  <si>
    <t>Dividend per Share (DPS)</t>
  </si>
  <si>
    <t>Key Ratios</t>
  </si>
  <si>
    <t>Net Interest Margin (NIM) %</t>
  </si>
  <si>
    <t>Cost to Income Ratio %</t>
  </si>
  <si>
    <t>Return on Avg Assets (ROA) %</t>
  </si>
  <si>
    <t>Return on Equity (ROE) %</t>
  </si>
  <si>
    <t>Capital Adequacy Ratio %</t>
  </si>
  <si>
    <t>Tier I Capital Ratio %</t>
  </si>
  <si>
    <t>Gross NPA Ratio %</t>
  </si>
  <si>
    <t>Net NPA Ratio %</t>
  </si>
  <si>
    <t>Working Notes</t>
  </si>
  <si>
    <t>Interest earned is interest earned on loans, investments and advances</t>
  </si>
  <si>
    <t>Interest expended is interest paid on deposits and borrowings</t>
  </si>
  <si>
    <t>Net Interest Income(NII)= Interest Earned-Interest Expended</t>
  </si>
  <si>
    <t>Fee Income is non interest income from services.</t>
  </si>
  <si>
    <t>Other Non-Interest Income includes treasury profits, recoveries and miscellaneous gains.</t>
  </si>
  <si>
    <t>Operating Expenses includes staff and administrative costs</t>
  </si>
  <si>
    <t>Financial result and Forecast for Kotak Mahindra Bank (Consolidated)</t>
  </si>
  <si>
    <t>(INR in thousands)</t>
  </si>
  <si>
    <t>Particulars</t>
  </si>
  <si>
    <t>Year</t>
  </si>
  <si>
    <t>Revenue (Total operating income)</t>
  </si>
  <si>
    <t>YoY change in %</t>
  </si>
  <si>
    <t>Less: OPEX</t>
  </si>
  <si>
    <t>Operating Expenses</t>
  </si>
  <si>
    <t>Pre-Provision Operating Profit (PPOP)</t>
  </si>
  <si>
    <t>YoY change in % (PPOP)</t>
  </si>
  <si>
    <t>Less: Provisions &amp; Contingencies</t>
  </si>
  <si>
    <t>Less: Tax Provision (historical actuals; ~31% effective assumed for forecasts)</t>
  </si>
  <si>
    <t>Earnings After Tax (PAT)</t>
  </si>
  <si>
    <t>Free Cash Flow to Equity (FCFE)</t>
  </si>
  <si>
    <t>Discount rate (Cost of Equity / WACC)</t>
  </si>
  <si>
    <t>Terminal growth rate (g)</t>
  </si>
  <si>
    <t>PV of FCFE @ discount rate</t>
  </si>
  <si>
    <t>Present Value of Terminal Value (PV_TV)</t>
  </si>
  <si>
    <t>Cumulative PV of FCFE over explicit forecast period</t>
  </si>
  <si>
    <t>Balance Sheet Items</t>
  </si>
  <si>
    <t>Equity value per share (₹)</t>
  </si>
  <si>
    <t>No. of Shares (units)</t>
  </si>
  <si>
    <t>ROE (PAT / Equity)</t>
  </si>
  <si>
    <t>ROA (PAT / Total Assets)</t>
  </si>
  <si>
    <t>Actual Revenue</t>
  </si>
  <si>
    <t>Forecast Revenue</t>
  </si>
  <si>
    <t>Cost of Equity / WACC – CAPM Approach for Kotak Mahindra Bank (Consolidated)</t>
  </si>
  <si>
    <t>All rates are annual; values as of late 2025 based on publicly available market data.</t>
  </si>
  <si>
    <t>Input</t>
  </si>
  <si>
    <t>Value</t>
  </si>
  <si>
    <t>Notes</t>
  </si>
  <si>
    <t>Risk-free rate (Rf) – India 10Y G-Sec</t>
  </si>
  <si>
    <t>Approx. 6.5–6.6% based on India 10Y G-Sec yields around 6.53–6.57% (CCIL; Macromicro India 10Y).</t>
  </si>
  <si>
    <t>Equity risk premium (ERP) – India</t>
  </si>
  <si>
    <t>Midpoint of Indian ERP estimates ~6.8% (Incwert) and academic range 6–11%; 7% used.</t>
  </si>
  <si>
    <t>Beta estimates (levered, equity)</t>
  </si>
  <si>
    <t>Source</t>
  </si>
  <si>
    <t>Beta</t>
  </si>
  <si>
    <t>Yahoo Finance – KOTAKBANK.NS (5Y monthly)</t>
  </si>
  <si>
    <t>Very low historical beta; low co-movement with index.</t>
  </si>
  <si>
    <t>Moneycontrol – Kotak Bank (Beta)</t>
  </si>
  <si>
    <t>Moneycontrol shows beta ~1.0–1.03 vs market.</t>
  </si>
  <si>
    <t>Average of above betas</t>
  </si>
  <si>
    <t>Simple average of Yahoo and Moneycontrol.</t>
  </si>
  <si>
    <t>Chosen beta for valuation (β)</t>
  </si>
  <si>
    <t>Rounded near average, consistent with research that Kotak is low-beta vs peers.</t>
  </si>
  <si>
    <t>Cost of Equity (Ke) using CAPM</t>
  </si>
  <si>
    <t>Formula:</t>
  </si>
  <si>
    <t>Ke = Rf + β × ERP</t>
  </si>
  <si>
    <t>Computed Ke</t>
  </si>
  <si>
    <t>Discount rate used in FCFE DCF valuation.</t>
  </si>
  <si>
    <t>For banks, valuation generally uses Cost of Equity as discount rate; deposits are operating liabilities, not financing capital. Thus WACC ≈ Ke.</t>
  </si>
  <si>
    <t>Sensitivity of Cost of Equity to Beta</t>
  </si>
  <si>
    <t>Ke</t>
  </si>
  <si>
    <t>Relative Valuation – Peer P/B Comparison and Blended Fair Value</t>
  </si>
  <si>
    <t>Peer P/B comparison (Price-to-Book)</t>
  </si>
  <si>
    <t>Bank</t>
  </si>
  <si>
    <t>P/B (x)</t>
  </si>
  <si>
    <t>HDFC Bank</t>
  </si>
  <si>
    <t>ICICI Bank</t>
  </si>
  <si>
    <t>Axis Bank</t>
  </si>
  <si>
    <t>IndusInd Bank</t>
  </si>
  <si>
    <t>State Bank of India</t>
  </si>
  <si>
    <t>Peer median P/B (x)</t>
  </si>
  <si>
    <t>Kotak multiples-based valuation (P/B method)</t>
  </si>
  <si>
    <t>Kotak Book Value per share FY25 (₹)</t>
  </si>
  <si>
    <t>Peer median P/B applied to Kotak</t>
  </si>
  <si>
    <t>Fair value per share from P/B multiples (₹)</t>
  </si>
  <si>
    <t>Current market price (₹)</t>
  </si>
  <si>
    <t>Upside / (Downside) vs current price</t>
  </si>
  <si>
    <t>The Upside/(Downside) vs Current Price shows how much room there is for price movement relative to the estimated fair value.</t>
  </si>
  <si>
    <t>In this case, Kotak’s P/B-based fair value is about ₹1,687 per share, while the current market price is around ₹2,148 — roughly 21.5% higher.</t>
  </si>
  <si>
    <t>That indicates Kotak Mahindra Bank is overvalued on a relative basis compared to peers.</t>
  </si>
  <si>
    <t>Blended Valuation – Kotak Mahindra Bank</t>
  </si>
  <si>
    <t>Unless there’s strong growth ahead to justify this premium, the stock could face downside pressure toward its fair value.”</t>
  </si>
  <si>
    <t>DCF</t>
  </si>
  <si>
    <t>Multiples</t>
  </si>
  <si>
    <t>Est. Price (₹ per share)</t>
  </si>
  <si>
    <t>Weights</t>
  </si>
  <si>
    <t>Blended Fair Value (₹ per share)</t>
  </si>
  <si>
    <t>Corporate Finance – Individual Assignment 2</t>
  </si>
  <si>
    <t>Kotak Mahindra Bank (Consolidated) – Equity Valuation Summary (DCF &amp; Relative)</t>
  </si>
  <si>
    <t>Valuation Overview</t>
  </si>
  <si>
    <t>Method</t>
  </si>
  <si>
    <t>Fair Value (₹/share)</t>
  </si>
  <si>
    <t>Weight</t>
  </si>
  <si>
    <t>Contribution</t>
  </si>
  <si>
    <t>Key Inputs</t>
  </si>
  <si>
    <t>DCF (FCFE)</t>
  </si>
  <si>
    <t>Risk-free rate (Rf)</t>
  </si>
  <si>
    <t>Relative (P/B multiples)</t>
  </si>
  <si>
    <t>Equity risk premium (ERP)</t>
  </si>
  <si>
    <t>Blended fair value</t>
  </si>
  <si>
    <t>Beta (β)</t>
  </si>
  <si>
    <t>Cost of Equity / WACC</t>
  </si>
  <si>
    <t>Terminal growth (g)</t>
  </si>
  <si>
    <t>Sensitivity Analysis – DCF Fair Value per Share</t>
  </si>
  <si>
    <t>Terminal Growth (g)</t>
  </si>
  <si>
    <t>WACC 10.0%</t>
  </si>
  <si>
    <t>WACC 10.75% (Base)</t>
  </si>
  <si>
    <t>WACC 11.5%</t>
  </si>
  <si>
    <t>WACC 12.0%</t>
  </si>
  <si>
    <t>4.0%</t>
  </si>
  <si>
    <t>4.5%</t>
  </si>
  <si>
    <t>5.0%</t>
  </si>
  <si>
    <t>5.5%</t>
  </si>
  <si>
    <t>6.0%</t>
  </si>
  <si>
    <t>Cumulative PV of FCFE</t>
  </si>
  <si>
    <t>Free Future Cashflow (FCFE)</t>
  </si>
  <si>
    <t>WACC</t>
  </si>
  <si>
    <t xml:space="preserve">  Rationale: Kotak has not indicated large equity issuance or buybacks, so assuming a stable share count isolates valuation changes to earnings and discount rate.</t>
  </si>
  <si>
    <t>Terminal growth- As we see companies continue for indefinite period and we usually do DCF for merely 5-7 years so we bring In terminal growth for more years,</t>
  </si>
  <si>
    <t>So I took range from 4% to 6% for terminal growth which represents long-term sustainable growth for India which is also equal to GDP growth rate(5-6%)</t>
  </si>
  <si>
    <t>Each cell in the sensitivity table above should show a fair value per share computed from the DCF.</t>
  </si>
  <si>
    <t>For any WACC–g combination, the equity value per share is calculated as:</t>
  </si>
  <si>
    <t>Equity value per share = (PV of FCFE for FY26–FY30 + PV of Terminal Value) ÷ Number of shares.</t>
  </si>
  <si>
    <t>PV of FCFE comes from the discounted FCFE row below for the chosen WACC, and PV of Terminal Value is recomputed for each WACC–g pair using the Gordon growth formula.</t>
  </si>
  <si>
    <t>I used the same 10.75% WACC that I calculated from CAPM as my base discount rate.</t>
  </si>
  <si>
    <t>The Notes sheet simply includes additional values like 10%, 11.5%, and 12% to run sensitivity tests — not because WACC changes fundamentally, but to check how small variations in discount rate would impact the DCF valuation.</t>
  </si>
  <si>
    <t>This approach ensures my valuation remains realistic and robust under slightly different market conditions</t>
  </si>
  <si>
    <t>Meaning</t>
  </si>
  <si>
    <t>Optimistic scenario → Investors expect a lower return → Kotak’s value appears higher</t>
  </si>
  <si>
    <t>Base case → Derived from CAPM (6.55% + 0.6×7%)</t>
  </si>
  <si>
    <t>Slightly higher risk scenario</t>
  </si>
  <si>
    <t>High-risk scenario → Investors demand more return → Kotak’s value appears lower</t>
  </si>
  <si>
    <t>Money today is worth more than money in the future.</t>
  </si>
  <si>
    <t>If Kotak will earn ₹100 crores next year, that’s not worth ₹100 crores today —</t>
  </si>
  <si>
    <t>So, we bring future money back to today’s value using a “discount factor.”</t>
  </si>
  <si>
    <t>That’s what WACC does — it tells you how much to discount.</t>
  </si>
  <si>
    <t>Category</t>
  </si>
  <si>
    <t>URL</t>
  </si>
  <si>
    <t>Growth – Profit</t>
  </si>
  <si>
    <t>https://www.screener.in/company/KOTAKBANK/consolidated/</t>
  </si>
  <si>
    <t>Growth – Revenue</t>
  </si>
  <si>
    <t>https://finbox.com/BSE%3A500247/explorer/total_rev_cagr_5y/</t>
  </si>
  <si>
    <t>Growth – Operating Income</t>
  </si>
  <si>
    <t>https://finbox.com/NSEI%3AKOTAKBANK/explorer/oper_inc_cagr_5y/</t>
  </si>
  <si>
    <t>Growth – Net Income Forecast</t>
  </si>
  <si>
    <t>https://www.alphaspread.com/security/nse/kotakbank/analyst-estimates</t>
  </si>
  <si>
    <t>Growth – Credit &amp; NII</t>
  </si>
  <si>
    <t>https://bfsi.economictimes.indiatimes.com/articles/kotak-mahindra-banks-powerful-growth-strategy-aiming-for-a-17-cagr-in-advances-and-nii-by-fy28/122848662</t>
  </si>
  <si>
    <t>Growth – Loans &amp; Deposits Recent</t>
  </si>
  <si>
    <t>https://www.alphaspread.com/security/nse/kotakbank/investor-relations</t>
  </si>
  <si>
    <t>HDFC Bank P/B multiple</t>
  </si>
  <si>
    <t>https://www.screener.in/company/HDFCBANK/</t>
  </si>
  <si>
    <t>ICICI Bank P/B multiple</t>
  </si>
  <si>
    <t>https://www.screener.in/company/ICICIBANK/</t>
  </si>
  <si>
    <t>Axis Bank P/B multiple</t>
  </si>
  <si>
    <t>https://www.screener.in/company/AXISBANK/</t>
  </si>
  <si>
    <t>IndusInd Bank P/B multiple</t>
  </si>
  <si>
    <t>https://www.screener.in/company/INDUSINDBK/</t>
  </si>
  <si>
    <t>State Bank of India P/B multiple</t>
  </si>
  <si>
    <t>https://www.screener.in/company/SBIN/</t>
  </si>
  <si>
    <t>Growth-GDP</t>
  </si>
  <si>
    <t>https://tradingeconomics.com/india/gdp-growth-annual</t>
  </si>
  <si>
    <t>ERP – supporting reference</t>
  </si>
  <si>
    <t>Beta – Yahoo Finance</t>
  </si>
  <si>
    <t>Beta – Moneycontrol</t>
  </si>
  <si>
    <t>Subsidiaries</t>
  </si>
  <si>
    <t>Kotak Mahindra Prime Limited</t>
  </si>
  <si>
    <t>Kotak Securities Limited</t>
  </si>
  <si>
    <t>Kotak Mahindra Capital Company Limited</t>
  </si>
  <si>
    <t>Kotak Mahindra Life Insurance Company Limited</t>
  </si>
  <si>
    <t>Kotak Mahindra General Insurance Company Limited</t>
  </si>
  <si>
    <t>Kotak Mahindra Investments Limited</t>
  </si>
  <si>
    <t>Kotak Mahindra Asset Management Company Limited</t>
  </si>
  <si>
    <t>Kotak Mahindra Trustee Company Limited</t>
  </si>
  <si>
    <t>Kotak Mahindra (International) Limited</t>
  </si>
  <si>
    <t>Kotak Mahindra (UK) Limited</t>
  </si>
  <si>
    <t>Kotak Mahindra, Inc</t>
  </si>
  <si>
    <t>Kotak Investment Advisors Limited</t>
  </si>
  <si>
    <t>Kotak Mahindra Trusteeship Services Limited</t>
  </si>
  <si>
    <t>Kotak Infrastructure Debt Fund Limited</t>
  </si>
  <si>
    <t>Kotak Mahindra Pension Fund Limited</t>
  </si>
  <si>
    <t>Kotak Mahindra Financial Services Limited</t>
  </si>
  <si>
    <t>Kotak Mahindra Asset Management (Singapore) Pte. Limited</t>
  </si>
  <si>
    <t>IVY Product Intermediaries Limited</t>
  </si>
  <si>
    <t>BSS Microfinance Limited</t>
  </si>
  <si>
    <t>Enterprise Value</t>
  </si>
  <si>
    <t>Add: Provision and Contigencies</t>
  </si>
  <si>
    <t>Forecast</t>
  </si>
  <si>
    <t xml:space="preserve"> Total Equity / Net Worth equals shareholders' funds (Equity Share Capital + Reserves).</t>
  </si>
  <si>
    <t xml:space="preserve"> Number of shares is taken from the 'Issued, Subscribed and Paid‑up Equity Share Capital' note. For DCF valuation and EPS we consider only equity shares, because preference shares have a fixed return and do not participate in residual equity value.</t>
  </si>
  <si>
    <t xml:space="preserve"> Cash balance equals the sum of 'Cash and balances with RBI' and 'Balances with banks'.</t>
  </si>
  <si>
    <t xml:space="preserve"> Figures in the financial statements are in ₹ thousands(except number of shares which is in units). Dividend per share is computed after converting to ₹ (for example, 405,000 × 1,000 ÷ 1,981,835,668 ≈ ₹0.20 per share).</t>
  </si>
  <si>
    <t xml:space="preserve"> This sheet compiles five years of standalone financial data (FY21–FY25) sourced from Kotak Mahindra Bank’s annual financial statements.</t>
  </si>
  <si>
    <t xml:space="preserve"> Deposits are the primary source of funding for the bank and drive the size of the interest‑earning asset base.</t>
  </si>
  <si>
    <t xml:space="preserve"> Advances (loans) are used along with total assets to analyse profitability and asset‑quality metrics such as ROA and NIM.</t>
  </si>
  <si>
    <t xml:space="preserve"> Investments comprise government securities, bonds and other financial instruments that generate interest and trading income.</t>
  </si>
  <si>
    <t>Working Notes -</t>
  </si>
  <si>
    <t>Dividend</t>
  </si>
  <si>
    <r>
      <t xml:space="preserve">We chose the </t>
    </r>
    <r>
      <rPr>
        <b/>
        <sz val="11"/>
        <color theme="1"/>
        <rFont val="Calibri"/>
        <family val="2"/>
        <scheme val="minor"/>
      </rPr>
      <t>median peer P/B multiple</t>
    </r>
    <r>
      <rPr>
        <sz val="11"/>
        <color theme="1"/>
        <rFont val="Calibri"/>
        <family val="2"/>
        <scheme val="minor"/>
      </rPr>
      <t xml:space="preserve"> because it provides a more representative and reliable benchmark of sector valuation by minimizing the impact of outliers, ensuring that extreme high or low valuations of individual banks do not distort Kotak Mahindra Bank’s fair value estimate.</t>
    </r>
  </si>
  <si>
    <t>• The DCF method gives an intrinsic value of ₹3172.65 per share based on long‑term cash flows, while the P/B multiples method gives ₹1,686.96 per share using the peer median P/B of 2.13× and Kotak’s FY25 book value per share of about ₹792.00</t>
  </si>
  <si>
    <t>• The blended fair value of ₹2281.24 per share (40% DCF, 60% multiples) suggests that one should buy the shares of Kotak Mahindra bank</t>
  </si>
  <si>
    <t>FY21</t>
  </si>
  <si>
    <t>FY22</t>
  </si>
  <si>
    <t>FY23</t>
  </si>
  <si>
    <t>FY24</t>
  </si>
  <si>
    <t>FY25</t>
  </si>
  <si>
    <t>FY26</t>
  </si>
  <si>
    <t>FY27</t>
  </si>
  <si>
    <t>FY28</t>
  </si>
  <si>
    <t>FY29</t>
  </si>
  <si>
    <t>FY30</t>
  </si>
  <si>
    <t>Actual</t>
  </si>
  <si>
    <t>NOTES</t>
  </si>
  <si>
    <t>Beta measures how volatile Kotak’s stock is compared to the market (systematic risk). A beta of 1 means the stock moves in line with the market; beta below 1 implies lower volatility.</t>
  </si>
  <si>
    <t>The base cost of equity of 10.75% represents the return equity investors require for holding Kotak’s shares. If the bank’s realised return is below this rate, the stock would not be attractive on a risk‑adjusted basis.</t>
  </si>
  <si>
    <t xml:space="preserve"> Total Equity / Net Worth in Valuation  is directly linked to Historical_FS  (₹ in thousands).</t>
  </si>
  <si>
    <t xml:space="preserve"> Number of shares is directly linked toHistorical_FS row 7 and held constant at the FY2025 level for FY2026–FY2030.</t>
  </si>
  <si>
    <t xml:space="preserve"> DCF fair value per share = Total equity value from FCFE DCF (₹ in thousands) × 1,000 ÷ number of shares (units).</t>
  </si>
  <si>
    <t xml:space="preserve"> Book value per share is based on FY2025 equity and shares fHistorical_FS to ensure consistency with the DCF.</t>
  </si>
  <si>
    <t>because we could invest that ₹100 crores elsewhere and earn a return.</t>
  </si>
  <si>
    <t>https://incwert.com/equity-risk-premium-2025/</t>
  </si>
  <si>
    <t xml:space="preserve"> https://www.grantthornton.in/globalassets/1.-member-firms/india/assets/pdfs/grant_thornton-valuation_insights-october_2015.pdf</t>
  </si>
  <si>
    <t>https://www.moneycontrol.com/india/stockpricequote/banks-private-sector/kotakmahindrabank/KMB</t>
  </si>
  <si>
    <t xml:space="preserve"> https://finance.yahoo.com/quote/KOTAKBANK.NS/key-statistics</t>
  </si>
  <si>
    <t>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</si>
</sst>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
    <numFmt numFmtId="165" formatCode="0.0%"/>
    <numFmt numFmtId="166" formatCode="0.0000"/>
    <numFmt numFmtId="167" formatCode="#,##0.0"/>
    <numFmt numFmtId="168" formatCode="_(* #,##0.0000_);_(* \(#,##0.0000\);_(* &quot;-&quot;??_);_(@_)"/>
    <numFmt numFmtId="169" formatCode="0.0000%"/>
  </numFmts>
  <fonts count="8" x14ac:knownFonts="1">
    <font>
      <sz val="11"/>
      <color theme="1"/>
      <name val="Calibri"/>
      <family val="2"/>
      <scheme val="minor"/>
    </font>
    <font>
      <b/>
      <sz val="11"/>
      <color theme="1"/>
      <name val="Calibri"/>
      <family val="2"/>
      <scheme val="minor"/>
    </font>
    <font>
      <b/>
      <sz val="13"/>
      <name val="Calibri"/>
      <family val="2"/>
    </font>
    <font>
      <b/>
      <sz val="11"/>
      <name val="Calibri"/>
      <family val="2"/>
    </font>
    <font>
      <u/>
      <sz val="11"/>
      <color theme="10"/>
      <name val="Calibri"/>
      <family val="2"/>
      <scheme val="minor"/>
    </font>
    <font>
      <sz val="11"/>
      <color theme="1"/>
      <name val="Calibri"/>
      <family val="2"/>
      <scheme val="minor"/>
    </font>
    <font>
      <b/>
      <u/>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FF0000"/>
        <bgColor rgb="FFBDD7EE"/>
      </patternFill>
    </fill>
    <fill>
      <patternFill patternType="solid">
        <fgColor rgb="FFFF0000"/>
        <bgColor rgb="FFD9E1F2"/>
      </patternFill>
    </fill>
    <fill>
      <patternFill patternType="solid">
        <fgColor theme="0"/>
        <bgColor rgb="FFBDD7EE"/>
      </patternFill>
    </fill>
  </fills>
  <borders count="13">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auto="1"/>
      </left>
      <right style="thin">
        <color indexed="64"/>
      </right>
      <top style="thin">
        <color indexed="64"/>
      </top>
      <bottom style="double">
        <color indexed="64"/>
      </bottom>
      <diagonal/>
    </border>
    <border>
      <left/>
      <right/>
      <top style="thin">
        <color indexed="64"/>
      </top>
      <bottom style="thin">
        <color indexed="64"/>
      </bottom>
      <diagonal/>
    </border>
  </borders>
  <cellStyleXfs count="4">
    <xf numFmtId="0" fontId="0" fillId="0" borderId="0"/>
    <xf numFmtId="0" fontId="4" fillId="0" borderId="0"/>
    <xf numFmtId="43" fontId="5" fillId="0" borderId="0" applyFont="0" applyFill="0" applyBorder="0" applyAlignment="0" applyProtection="0"/>
    <xf numFmtId="9" fontId="5" fillId="0" borderId="0" applyFont="0" applyFill="0" applyBorder="0" applyAlignment="0" applyProtection="0"/>
  </cellStyleXfs>
  <cellXfs count="89">
    <xf numFmtId="0" fontId="0" fillId="0" borderId="0" xfId="0"/>
    <xf numFmtId="0" fontId="1" fillId="0" borderId="1" xfId="0" applyFont="1" applyBorder="1" applyAlignment="1">
      <alignment horizontal="center" vertical="top"/>
    </xf>
    <xf numFmtId="3" fontId="0" fillId="0" borderId="0" xfId="0" applyNumberFormat="1"/>
    <xf numFmtId="164" fontId="0" fillId="0" borderId="0" xfId="0" applyNumberFormat="1"/>
    <xf numFmtId="2" fontId="0" fillId="0" borderId="0" xfId="0" applyNumberFormat="1"/>
    <xf numFmtId="167" fontId="0" fillId="0" borderId="0" xfId="0" applyNumberFormat="1"/>
    <xf numFmtId="2" fontId="1" fillId="0" borderId="0" xfId="0" applyNumberFormat="1" applyFont="1"/>
    <xf numFmtId="0" fontId="1" fillId="0" borderId="0" xfId="0" applyFont="1"/>
    <xf numFmtId="0" fontId="0" fillId="0" borderId="0" xfId="0" applyAlignment="1">
      <alignment horizontal="left" indent="1"/>
    </xf>
    <xf numFmtId="3" fontId="1" fillId="0" borderId="0" xfId="0" applyNumberFormat="1" applyFont="1"/>
    <xf numFmtId="10" fontId="0" fillId="0" borderId="1" xfId="0" applyNumberFormat="1" applyBorder="1" applyAlignment="1">
      <alignment horizontal="center"/>
    </xf>
    <xf numFmtId="0" fontId="0" fillId="0" borderId="0" xfId="0" applyAlignment="1">
      <alignment horizontal="center" vertical="center" wrapText="1"/>
    </xf>
    <xf numFmtId="0" fontId="1" fillId="0" borderId="1" xfId="0" applyFont="1" applyBorder="1" applyAlignment="1">
      <alignment horizontal="center" vertical="center" wrapText="1"/>
    </xf>
    <xf numFmtId="10" fontId="0" fillId="0" borderId="1" xfId="0" applyNumberFormat="1" applyBorder="1" applyAlignment="1">
      <alignment horizontal="center" vertical="center" wrapText="1"/>
    </xf>
    <xf numFmtId="0" fontId="3" fillId="4" borderId="1" xfId="0" applyFont="1" applyFill="1" applyBorder="1" applyAlignment="1">
      <alignment horizontal="center"/>
    </xf>
    <xf numFmtId="0" fontId="1" fillId="2" borderId="1" xfId="0" applyFont="1" applyFill="1" applyBorder="1" applyAlignment="1">
      <alignment horizontal="center" vertical="top"/>
    </xf>
    <xf numFmtId="0" fontId="3" fillId="4" borderId="1" xfId="0" applyFont="1" applyFill="1" applyBorder="1" applyAlignment="1">
      <alignment horizontal="center"/>
    </xf>
    <xf numFmtId="0" fontId="3" fillId="4" borderId="1" xfId="0" applyFont="1" applyFill="1" applyBorder="1" applyAlignment="1">
      <alignment horizontal="center" vertical="center"/>
    </xf>
    <xf numFmtId="0" fontId="1" fillId="2" borderId="1" xfId="0" applyFont="1" applyFill="1" applyBorder="1" applyAlignment="1">
      <alignment horizontal="center"/>
    </xf>
    <xf numFmtId="1" fontId="1" fillId="2" borderId="1" xfId="2" applyNumberFormat="1" applyFont="1" applyFill="1" applyBorder="1" applyAlignment="1">
      <alignment horizontal="center" vertical="center"/>
    </xf>
    <xf numFmtId="3" fontId="0" fillId="0" borderId="1" xfId="0" applyNumberFormat="1" applyBorder="1" applyAlignment="1">
      <alignment horizontal="center"/>
    </xf>
    <xf numFmtId="0" fontId="0" fillId="0" borderId="1" xfId="0" applyBorder="1" applyAlignment="1">
      <alignment horizontal="center"/>
    </xf>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168" fontId="0" fillId="0" borderId="0" xfId="2" applyNumberFormat="1" applyFont="1" applyBorder="1" applyAlignment="1">
      <alignment horizontal="center"/>
    </xf>
    <xf numFmtId="168" fontId="0" fillId="0" borderId="3" xfId="2" applyNumberFormat="1" applyFont="1" applyBorder="1" applyAlignment="1">
      <alignment horizontal="center"/>
    </xf>
    <xf numFmtId="168" fontId="0" fillId="0" borderId="7" xfId="2" applyNumberFormat="1" applyFont="1" applyBorder="1" applyAlignment="1">
      <alignment horizontal="center"/>
    </xf>
    <xf numFmtId="169" fontId="0" fillId="0" borderId="0" xfId="3" applyNumberFormat="1" applyFont="1" applyBorder="1" applyAlignment="1">
      <alignment horizontal="center"/>
    </xf>
    <xf numFmtId="169" fontId="0" fillId="0" borderId="3" xfId="3" applyNumberFormat="1" applyFont="1" applyBorder="1" applyAlignment="1">
      <alignment horizontal="center"/>
    </xf>
    <xf numFmtId="169" fontId="0" fillId="0" borderId="7" xfId="3" applyNumberFormat="1" applyFont="1" applyBorder="1" applyAlignment="1">
      <alignment horizontal="center"/>
    </xf>
    <xf numFmtId="0" fontId="0" fillId="2" borderId="3" xfId="0" applyFill="1" applyBorder="1" applyAlignment="1">
      <alignment horizontal="center"/>
    </xf>
    <xf numFmtId="168" fontId="0" fillId="2" borderId="0" xfId="2" applyNumberFormat="1" applyFont="1" applyFill="1" applyBorder="1" applyAlignment="1">
      <alignment horizontal="center"/>
    </xf>
    <xf numFmtId="168" fontId="0" fillId="2" borderId="3" xfId="2" applyNumberFormat="1" applyFont="1" applyFill="1" applyBorder="1" applyAlignment="1">
      <alignment horizontal="center"/>
    </xf>
    <xf numFmtId="168" fontId="0" fillId="2" borderId="7" xfId="2" applyNumberFormat="1" applyFont="1" applyFill="1" applyBorder="1" applyAlignment="1">
      <alignment horizontal="center"/>
    </xf>
    <xf numFmtId="0" fontId="1" fillId="0" borderId="4" xfId="0" applyFont="1" applyBorder="1" applyAlignment="1">
      <alignment horizontal="center"/>
    </xf>
    <xf numFmtId="168" fontId="1" fillId="0" borderId="2" xfId="2" applyNumberFormat="1" applyFont="1" applyBorder="1" applyAlignment="1">
      <alignment horizontal="center"/>
    </xf>
    <xf numFmtId="168" fontId="1" fillId="0" borderId="4" xfId="2" applyNumberFormat="1" applyFont="1" applyBorder="1" applyAlignment="1">
      <alignment horizontal="center"/>
    </xf>
    <xf numFmtId="168" fontId="1" fillId="0" borderId="6" xfId="2" applyNumberFormat="1" applyFont="1" applyBorder="1" applyAlignment="1">
      <alignment horizontal="center"/>
    </xf>
    <xf numFmtId="0" fontId="1" fillId="0" borderId="10" xfId="0" applyFont="1" applyBorder="1" applyAlignment="1">
      <alignment horizontal="center"/>
    </xf>
    <xf numFmtId="168" fontId="1" fillId="0" borderId="12" xfId="2" applyNumberFormat="1" applyFont="1" applyBorder="1" applyAlignment="1">
      <alignment horizontal="center"/>
    </xf>
    <xf numFmtId="168" fontId="1" fillId="0" borderId="10" xfId="2" applyNumberFormat="1" applyFont="1" applyBorder="1" applyAlignment="1">
      <alignment horizontal="center"/>
    </xf>
    <xf numFmtId="168" fontId="0" fillId="0" borderId="0" xfId="2" applyNumberFormat="1" applyFont="1" applyAlignment="1">
      <alignment horizontal="center"/>
    </xf>
    <xf numFmtId="0" fontId="0" fillId="0" borderId="5" xfId="0" applyBorder="1" applyAlignment="1">
      <alignment horizontal="center"/>
    </xf>
    <xf numFmtId="10" fontId="0" fillId="0" borderId="4" xfId="3" applyNumberFormat="1" applyFont="1" applyBorder="1" applyAlignment="1">
      <alignment horizontal="center"/>
    </xf>
    <xf numFmtId="0" fontId="0" fillId="0" borderId="9" xfId="0" applyBorder="1" applyAlignment="1">
      <alignment horizontal="center"/>
    </xf>
    <xf numFmtId="10" fontId="0" fillId="0" borderId="3" xfId="3" applyNumberFormat="1" applyFont="1" applyBorder="1" applyAlignment="1">
      <alignment horizontal="center"/>
    </xf>
    <xf numFmtId="0" fontId="1" fillId="0" borderId="9" xfId="0" applyFont="1" applyBorder="1" applyAlignment="1">
      <alignment horizontal="center"/>
    </xf>
    <xf numFmtId="168" fontId="1" fillId="0" borderId="3" xfId="2" applyNumberFormat="1" applyFont="1" applyBorder="1" applyAlignment="1">
      <alignment horizontal="center"/>
    </xf>
    <xf numFmtId="168" fontId="1" fillId="0" borderId="0" xfId="2" applyNumberFormat="1" applyFont="1" applyAlignment="1">
      <alignment horizontal="center"/>
    </xf>
    <xf numFmtId="168" fontId="1" fillId="0" borderId="0" xfId="2" applyNumberFormat="1" applyFont="1" applyBorder="1" applyAlignment="1">
      <alignment horizontal="center"/>
    </xf>
    <xf numFmtId="0" fontId="1" fillId="0" borderId="11" xfId="0" applyFont="1" applyBorder="1" applyAlignment="1">
      <alignment horizontal="center"/>
    </xf>
    <xf numFmtId="168" fontId="1" fillId="0" borderId="8" xfId="2" applyNumberFormat="1" applyFont="1" applyBorder="1" applyAlignment="1">
      <alignment horizontal="center"/>
    </xf>
    <xf numFmtId="0" fontId="1" fillId="2" borderId="0" xfId="0" applyFont="1" applyFill="1" applyAlignment="1">
      <alignment horizontal="center"/>
    </xf>
    <xf numFmtId="168" fontId="1" fillId="2" borderId="0" xfId="2" applyNumberFormat="1" applyFont="1" applyFill="1" applyAlignment="1">
      <alignment horizontal="center"/>
    </xf>
    <xf numFmtId="0" fontId="6" fillId="0" borderId="0" xfId="0" applyFont="1" applyAlignment="1">
      <alignment horizontal="center"/>
    </xf>
    <xf numFmtId="169" fontId="0" fillId="0" borderId="0" xfId="3" applyNumberFormat="1" applyFont="1" applyAlignment="1">
      <alignment horizontal="center"/>
    </xf>
    <xf numFmtId="0" fontId="3" fillId="3" borderId="0" xfId="0" applyFont="1" applyFill="1" applyAlignment="1">
      <alignment horizontal="center"/>
    </xf>
    <xf numFmtId="10" fontId="0" fillId="0" borderId="0" xfId="0" applyNumberFormat="1" applyAlignment="1">
      <alignment horizontal="center"/>
    </xf>
    <xf numFmtId="2" fontId="0" fillId="0" borderId="0" xfId="0" applyNumberFormat="1" applyAlignment="1">
      <alignment horizontal="center"/>
    </xf>
    <xf numFmtId="0" fontId="3" fillId="0" borderId="0" xfId="0" applyFont="1" applyAlignment="1">
      <alignment horizontal="center"/>
    </xf>
    <xf numFmtId="0" fontId="3" fillId="2" borderId="0" xfId="0" applyFont="1" applyFill="1" applyAlignment="1">
      <alignment horizontal="center"/>
    </xf>
    <xf numFmtId="2" fontId="0" fillId="2" borderId="0" xfId="0" applyNumberFormat="1" applyFill="1" applyAlignment="1">
      <alignment horizontal="center"/>
    </xf>
    <xf numFmtId="165" fontId="0" fillId="0" borderId="0" xfId="0" applyNumberFormat="1" applyAlignment="1">
      <alignment horizontal="center"/>
    </xf>
    <xf numFmtId="0" fontId="0" fillId="0" borderId="0" xfId="0" applyAlignment="1">
      <alignment horizontal="center" wrapText="1"/>
    </xf>
    <xf numFmtId="0" fontId="3" fillId="5" borderId="0" xfId="0" applyFont="1" applyFill="1" applyAlignment="1">
      <alignment horizontal="center"/>
    </xf>
    <xf numFmtId="0" fontId="0" fillId="2" borderId="0" xfId="0" applyFill="1" applyAlignment="1">
      <alignment horizontal="center"/>
    </xf>
    <xf numFmtId="0" fontId="1" fillId="2" borderId="10" xfId="0" applyFont="1" applyFill="1" applyBorder="1" applyAlignment="1">
      <alignment horizontal="center"/>
    </xf>
    <xf numFmtId="43" fontId="0" fillId="0" borderId="0" xfId="2"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3" fillId="3" borderId="1" xfId="0" applyFont="1" applyFill="1" applyBorder="1" applyAlignment="1">
      <alignment horizontal="center"/>
    </xf>
    <xf numFmtId="2" fontId="0" fillId="0" borderId="1" xfId="0" applyNumberFormat="1" applyBorder="1" applyAlignment="1">
      <alignment horizontal="center"/>
    </xf>
    <xf numFmtId="165" fontId="0" fillId="0" borderId="1" xfId="0" applyNumberFormat="1" applyBorder="1" applyAlignment="1">
      <alignment horizontal="center"/>
    </xf>
    <xf numFmtId="2" fontId="0" fillId="2" borderId="1" xfId="0" applyNumberFormat="1" applyFill="1" applyBorder="1" applyAlignment="1">
      <alignment horizontal="center"/>
    </xf>
    <xf numFmtId="168" fontId="0" fillId="0" borderId="0" xfId="2" applyNumberFormat="1" applyFont="1" applyAlignment="1">
      <alignment horizontal="center" vertical="center"/>
    </xf>
    <xf numFmtId="166" fontId="0" fillId="0" borderId="1" xfId="0" applyNumberFormat="1" applyBorder="1" applyAlignment="1">
      <alignment horizontal="center"/>
    </xf>
    <xf numFmtId="168" fontId="0" fillId="0" borderId="1" xfId="2" applyNumberFormat="1" applyFont="1" applyBorder="1" applyAlignment="1">
      <alignment horizontal="center"/>
    </xf>
    <xf numFmtId="168" fontId="1" fillId="0" borderId="1" xfId="2" applyNumberFormat="1" applyFont="1"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4" fillId="0" borderId="0" xfId="1" applyAlignment="1">
      <alignment horizontal="center"/>
    </xf>
    <xf numFmtId="0" fontId="7" fillId="2" borderId="0" xfId="0" applyFont="1" applyFill="1" applyAlignment="1">
      <alignment horizontal="center"/>
    </xf>
  </cellXfs>
  <cellStyles count="4">
    <cellStyle name="Comma" xfId="2" builtinId="3"/>
    <cellStyle name="Hyperlink" xfId="1" builtinId="8"/>
    <cellStyle name="Normal" xfId="0" builtinId="0"/>
    <cellStyle name="Percent" xfId="3" builtinId="5"/>
  </cellStyles>
  <dxfs count="0"/>
  <tableStyles count="1" defaultTableStyle="TableStyleMedium9" defaultPivotStyle="PivotStyleLight16">
    <tableStyle name="Invisible" pivot="0" table="0" count="0" xr9:uid="{91B6D6BB-2BBE-41A0-A773-DB68287BFA4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Reveue and Operating Profit- Actuals and Forecasts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940966754155729"/>
          <c:y val="0.1902314814814815"/>
          <c:w val="0.78282152230971125"/>
          <c:h val="0.61498432487605714"/>
        </c:manualLayout>
      </c:layout>
      <c:barChart>
        <c:barDir val="col"/>
        <c:grouping val="clustered"/>
        <c:varyColors val="0"/>
        <c:ser>
          <c:idx val="1"/>
          <c:order val="0"/>
          <c:tx>
            <c:strRef>
              <c:f>Valuation!$A$8</c:f>
              <c:strCache>
                <c:ptCount val="1"/>
                <c:pt idx="0">
                  <c:v>Revenue (Total operating income)</c:v>
                </c:pt>
              </c:strCache>
            </c:strRef>
          </c:tx>
          <c:spPr>
            <a:solidFill>
              <a:schemeClr val="accent2"/>
            </a:solidFill>
            <a:ln>
              <a:noFill/>
            </a:ln>
            <a:effectLst/>
          </c:spPr>
          <c:invertIfNegative val="0"/>
          <c:cat>
            <c:strRef>
              <c:f>Valuation!$B$5:$K$6</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Valuation!$B$8:$K$8</c:f>
              <c:numCache>
                <c:formatCode>_(* #,##0.0000_);_(* \(#,##0.0000\);_(* "-"??_);_(@_)</c:formatCode>
                <c:ptCount val="10"/>
                <c:pt idx="0">
                  <c:v>207988361</c:v>
                </c:pt>
                <c:pt idx="1">
                  <c:v>231778178</c:v>
                </c:pt>
                <c:pt idx="2">
                  <c:v>286349662</c:v>
                </c:pt>
                <c:pt idx="3">
                  <c:v>362662001</c:v>
                </c:pt>
                <c:pt idx="4">
                  <c:v>433027775</c:v>
                </c:pt>
                <c:pt idx="5">
                  <c:v>510972774.5</c:v>
                </c:pt>
                <c:pt idx="6">
                  <c:v>602947873.90999997</c:v>
                </c:pt>
                <c:pt idx="7">
                  <c:v>711478491.21379995</c:v>
                </c:pt>
                <c:pt idx="8">
                  <c:v>839544619.63228393</c:v>
                </c:pt>
                <c:pt idx="9">
                  <c:v>990662651.16609502</c:v>
                </c:pt>
              </c:numCache>
            </c:numRef>
          </c:val>
          <c:extLst>
            <c:ext xmlns:c16="http://schemas.microsoft.com/office/drawing/2014/chart" uri="{C3380CC4-5D6E-409C-BE32-E72D297353CC}">
              <c16:uniqueId val="{00000000-61C9-46B1-B875-F5FEBB15FF54}"/>
            </c:ext>
          </c:extLst>
        </c:ser>
        <c:dLbls>
          <c:showLegendKey val="0"/>
          <c:showVal val="0"/>
          <c:showCatName val="0"/>
          <c:showSerName val="0"/>
          <c:showPercent val="0"/>
          <c:showBubbleSize val="0"/>
        </c:dLbls>
        <c:gapWidth val="219"/>
        <c:overlap val="-27"/>
        <c:axId val="329537920"/>
        <c:axId val="329538400"/>
      </c:barChart>
      <c:lineChart>
        <c:grouping val="standard"/>
        <c:varyColors val="0"/>
        <c:ser>
          <c:idx val="2"/>
          <c:order val="1"/>
          <c:tx>
            <c:strRef>
              <c:f>Valuation!$A$13</c:f>
              <c:strCache>
                <c:ptCount val="1"/>
                <c:pt idx="0">
                  <c:v>Pre-Provision Operating Profit (PPOP)</c:v>
                </c:pt>
              </c:strCache>
            </c:strRef>
          </c:tx>
          <c:spPr>
            <a:ln w="28575" cap="rnd">
              <a:solidFill>
                <a:schemeClr val="accent3"/>
              </a:solidFill>
              <a:round/>
            </a:ln>
            <a:effectLst/>
          </c:spPr>
          <c:marker>
            <c:symbol val="none"/>
          </c:marker>
          <c:cat>
            <c:strRef>
              <c:f>Valuation!$B$5:$K$6</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Valuation!$B$13:$K$13</c:f>
              <c:numCache>
                <c:formatCode>_(* #,##0.0000_);_(* \(#,##0.0000\);_(* "-"??_);_(@_)</c:formatCode>
                <c:ptCount val="10"/>
                <c:pt idx="0">
                  <c:v>122146981</c:v>
                </c:pt>
                <c:pt idx="1">
                  <c:v>120564293</c:v>
                </c:pt>
                <c:pt idx="2">
                  <c:v>148479725</c:v>
                </c:pt>
                <c:pt idx="3">
                  <c:v>195873541</c:v>
                </c:pt>
                <c:pt idx="4">
                  <c:v>245263380</c:v>
                </c:pt>
                <c:pt idx="5">
                  <c:v>289410788.39999998</c:v>
                </c:pt>
                <c:pt idx="6">
                  <c:v>346570728.82049996</c:v>
                </c:pt>
                <c:pt idx="7">
                  <c:v>414931338.24821997</c:v>
                </c:pt>
                <c:pt idx="8">
                  <c:v>496672875.45613492</c:v>
                </c:pt>
                <c:pt idx="9">
                  <c:v>594397590.69965696</c:v>
                </c:pt>
              </c:numCache>
            </c:numRef>
          </c:val>
          <c:smooth val="0"/>
          <c:extLst>
            <c:ext xmlns:c16="http://schemas.microsoft.com/office/drawing/2014/chart" uri="{C3380CC4-5D6E-409C-BE32-E72D297353CC}">
              <c16:uniqueId val="{00000001-61C9-46B1-B875-F5FEBB15FF54}"/>
            </c:ext>
          </c:extLst>
        </c:ser>
        <c:dLbls>
          <c:showLegendKey val="0"/>
          <c:showVal val="0"/>
          <c:showCatName val="0"/>
          <c:showSerName val="0"/>
          <c:showPercent val="0"/>
          <c:showBubbleSize val="0"/>
        </c:dLbls>
        <c:marker val="1"/>
        <c:smooth val="0"/>
        <c:axId val="329537920"/>
        <c:axId val="329538400"/>
      </c:lineChart>
      <c:catAx>
        <c:axId val="32953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38400"/>
        <c:crosses val="autoZero"/>
        <c:auto val="1"/>
        <c:lblAlgn val="ctr"/>
        <c:lblOffset val="100"/>
        <c:noMultiLvlLbl val="0"/>
      </c:catAx>
      <c:valAx>
        <c:axId val="329538400"/>
        <c:scaling>
          <c:orientation val="minMax"/>
        </c:scaling>
        <c:delete val="0"/>
        <c:axPos val="l"/>
        <c:majorGridlines>
          <c:spPr>
            <a:ln w="9525" cap="flat" cmpd="sng" algn="ctr">
              <a:solidFill>
                <a:schemeClr val="tx1">
                  <a:lumMod val="15000"/>
                  <a:lumOff val="85000"/>
                </a:schemeClr>
              </a:solidFill>
              <a:round/>
            </a:ln>
            <a:effectLst/>
          </c:spPr>
        </c:majorGridlines>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3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PBT</a:t>
            </a:r>
            <a:r>
              <a:rPr lang="en-US" baseline="0"/>
              <a:t> and PAT- Actuas and Forecasts.</a:t>
            </a:r>
            <a:endParaRPr lang="en-US"/>
          </a:p>
        </c:rich>
      </c:tx>
      <c:overlay val="0"/>
      <c:spPr>
        <a:noFill/>
        <a:ln>
          <a:noFill/>
          <a:prstDash val="solid"/>
        </a:ln>
      </c:spPr>
    </c:title>
    <c:autoTitleDeleted val="0"/>
    <c:plotArea>
      <c:layout>
        <c:manualLayout>
          <c:layoutTarget val="inner"/>
          <c:xMode val="edge"/>
          <c:yMode val="edge"/>
          <c:x val="0.15660892388451439"/>
          <c:y val="0.17171296296296301"/>
          <c:w val="0.80172440944881884"/>
          <c:h val="0.61498432487605714"/>
        </c:manualLayout>
      </c:layout>
      <c:lineChart>
        <c:grouping val="stacked"/>
        <c:varyColors val="0"/>
        <c:ser>
          <c:idx val="12"/>
          <c:order val="0"/>
          <c:tx>
            <c:strRef>
              <c:f>Valuation!$A$18</c:f>
              <c:strCache>
                <c:ptCount val="1"/>
                <c:pt idx="0">
                  <c:v>Profit Before Tax (PBT)</c:v>
                </c:pt>
              </c:strCache>
            </c:strRef>
          </c:tx>
          <c:spPr>
            <a:ln w="28575"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Valuation!$B$18:$K$18</c:f>
              <c:numCache>
                <c:formatCode>_(* #,##0.0000_);_(* \(#,##0.0000\);_(* "-"??_);_(@_)</c:formatCode>
                <c:ptCount val="10"/>
                <c:pt idx="0">
                  <c:v>69648366</c:v>
                </c:pt>
                <c:pt idx="1">
                  <c:v>85782471</c:v>
                </c:pt>
                <c:pt idx="2">
                  <c:v>109392951</c:v>
                </c:pt>
                <c:pt idx="3">
                  <c:v>137814817</c:v>
                </c:pt>
                <c:pt idx="4">
                  <c:v>164499435</c:v>
                </c:pt>
                <c:pt idx="5">
                  <c:v>197435688.98999998</c:v>
                </c:pt>
                <c:pt idx="6">
                  <c:v>238040111.51669997</c:v>
                </c:pt>
                <c:pt idx="7">
                  <c:v>286865209.82973599</c:v>
                </c:pt>
                <c:pt idx="8">
                  <c:v>345554843.92232382</c:v>
                </c:pt>
                <c:pt idx="9">
                  <c:v>416078313.48975986</c:v>
                </c:pt>
              </c:numCache>
            </c:numRef>
          </c:val>
          <c:smooth val="0"/>
          <c:extLst>
            <c:ext xmlns:c16="http://schemas.microsoft.com/office/drawing/2014/chart" uri="{C3380CC4-5D6E-409C-BE32-E72D297353CC}">
              <c16:uniqueId val="{00000000-8839-4D91-893A-1F7C6AF571DA}"/>
            </c:ext>
          </c:extLst>
        </c:ser>
        <c:ser>
          <c:idx val="13"/>
          <c:order val="1"/>
          <c:tx>
            <c:strRef>
              <c:f>Valuation!$A$20</c:f>
              <c:strCache>
                <c:ptCount val="1"/>
                <c:pt idx="0">
                  <c:v>Earnings After Tax (PAT)</c:v>
                </c:pt>
              </c:strCache>
            </c:strRef>
          </c:tx>
          <c:spPr>
            <a:ln w="28575"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Valuation!$B$20:$K$20</c:f>
              <c:numCache>
                <c:formatCode>_(* #,##0.0000_);_(* \(#,##0.0000\);_(* "-"??_);_(@_)</c:formatCode>
                <c:ptCount val="10"/>
                <c:pt idx="0">
                  <c:v>46266904</c:v>
                </c:pt>
                <c:pt idx="1">
                  <c:v>57896282</c:v>
                </c:pt>
                <c:pt idx="2">
                  <c:v>74876041</c:v>
                </c:pt>
                <c:pt idx="3">
                  <c:v>95493474</c:v>
                </c:pt>
                <c:pt idx="4">
                  <c:v>113159103</c:v>
                </c:pt>
                <c:pt idx="5">
                  <c:v>136230625.40309998</c:v>
                </c:pt>
                <c:pt idx="6">
                  <c:v>164247676.94652298</c:v>
                </c:pt>
                <c:pt idx="7">
                  <c:v>197936994.78251785</c:v>
                </c:pt>
                <c:pt idx="8">
                  <c:v>238432842.30640346</c:v>
                </c:pt>
                <c:pt idx="9">
                  <c:v>287094036.30793428</c:v>
                </c:pt>
              </c:numCache>
            </c:numRef>
          </c:val>
          <c:smooth val="0"/>
          <c:extLst>
            <c:ext xmlns:c16="http://schemas.microsoft.com/office/drawing/2014/chart" uri="{C3380CC4-5D6E-409C-BE32-E72D297353CC}">
              <c16:uniqueId val="{00000001-8839-4D91-893A-1F7C6AF571DA}"/>
            </c:ext>
          </c:extLst>
        </c:ser>
        <c:dLbls>
          <c:showLegendKey val="0"/>
          <c:showVal val="0"/>
          <c:showCatName val="0"/>
          <c:showSerName val="0"/>
          <c:showPercent val="0"/>
          <c:showBubbleSize val="0"/>
        </c:dLbls>
        <c:marker val="1"/>
        <c:smooth val="0"/>
        <c:axId val="1616811984"/>
        <c:axId val="1616813424"/>
      </c:lineChart>
      <c:catAx>
        <c:axId val="161681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16813424"/>
        <c:crosses val="autoZero"/>
        <c:auto val="1"/>
        <c:lblAlgn val="ctr"/>
        <c:lblOffset val="100"/>
        <c:noMultiLvlLbl val="0"/>
      </c:catAx>
      <c:valAx>
        <c:axId val="1616813424"/>
        <c:scaling>
          <c:orientation val="minMax"/>
        </c:scaling>
        <c:delete val="0"/>
        <c:axPos val="l"/>
        <c:majorGridlines>
          <c:spPr>
            <a:ln w="9525" cap="flat" cmpd="sng" algn="ctr">
              <a:solidFill>
                <a:srgbClr val="FF0000"/>
              </a:solidFill>
              <a:prstDash val="solid"/>
              <a:round/>
            </a:ln>
          </c:spPr>
        </c:majorGridlines>
        <c:numFmt formatCode="_(* #,##0.0000_);_(* \(#,##0.0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1681198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Revenue and PAT – Actuals and Forecasts</a:t>
            </a:r>
          </a:p>
        </c:rich>
      </c:tx>
      <c:overlay val="0"/>
      <c:spPr>
        <a:noFill/>
        <a:ln>
          <a:noFill/>
          <a:prstDash val="solid"/>
        </a:ln>
      </c:spPr>
    </c:title>
    <c:autoTitleDeleted val="0"/>
    <c:plotArea>
      <c:layout/>
      <c:lineChart>
        <c:grouping val="standard"/>
        <c:varyColors val="0"/>
        <c:ser>
          <c:idx val="0"/>
          <c:order val="0"/>
          <c:tx>
            <c:v>Revenue</c:v>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Valuation!$B$8:$K$8</c:f>
              <c:numCache>
                <c:formatCode>_(* #,##0.0000_);_(* \(#,##0.0000\);_(* "-"??_);_(@_)</c:formatCode>
                <c:ptCount val="10"/>
                <c:pt idx="0">
                  <c:v>207988361</c:v>
                </c:pt>
                <c:pt idx="1">
                  <c:v>231778178</c:v>
                </c:pt>
                <c:pt idx="2">
                  <c:v>286349662</c:v>
                </c:pt>
                <c:pt idx="3">
                  <c:v>362662001</c:v>
                </c:pt>
                <c:pt idx="4">
                  <c:v>433027775</c:v>
                </c:pt>
                <c:pt idx="5">
                  <c:v>510972774.5</c:v>
                </c:pt>
                <c:pt idx="6">
                  <c:v>602947873.90999997</c:v>
                </c:pt>
                <c:pt idx="7">
                  <c:v>711478491.21379995</c:v>
                </c:pt>
                <c:pt idx="8">
                  <c:v>839544619.63228393</c:v>
                </c:pt>
                <c:pt idx="9">
                  <c:v>990662651.16609502</c:v>
                </c:pt>
              </c:numCache>
            </c:numRef>
          </c:val>
          <c:smooth val="0"/>
          <c:extLst>
            <c:ext xmlns:c16="http://schemas.microsoft.com/office/drawing/2014/chart" uri="{C3380CC4-5D6E-409C-BE32-E72D297353CC}">
              <c16:uniqueId val="{00000000-0624-46D1-ABCE-6E19AF2EAF3D}"/>
            </c:ext>
          </c:extLst>
        </c:ser>
        <c:ser>
          <c:idx val="1"/>
          <c:order val="1"/>
          <c:tx>
            <c:v>PAT</c:v>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Valuation!$B$20:$K$20</c:f>
              <c:numCache>
                <c:formatCode>_(* #,##0.0000_);_(* \(#,##0.0000\);_(* "-"??_);_(@_)</c:formatCode>
                <c:ptCount val="10"/>
                <c:pt idx="0">
                  <c:v>46266904</c:v>
                </c:pt>
                <c:pt idx="1">
                  <c:v>57896282</c:v>
                </c:pt>
                <c:pt idx="2">
                  <c:v>74876041</c:v>
                </c:pt>
                <c:pt idx="3">
                  <c:v>95493474</c:v>
                </c:pt>
                <c:pt idx="4">
                  <c:v>113159103</c:v>
                </c:pt>
                <c:pt idx="5">
                  <c:v>136230625.40309998</c:v>
                </c:pt>
                <c:pt idx="6">
                  <c:v>164247676.94652298</c:v>
                </c:pt>
                <c:pt idx="7">
                  <c:v>197936994.78251785</c:v>
                </c:pt>
                <c:pt idx="8">
                  <c:v>238432842.30640346</c:v>
                </c:pt>
                <c:pt idx="9">
                  <c:v>287094036.30793428</c:v>
                </c:pt>
              </c:numCache>
            </c:numRef>
          </c:val>
          <c:smooth val="0"/>
          <c:extLst>
            <c:ext xmlns:c16="http://schemas.microsoft.com/office/drawing/2014/chart" uri="{C3380CC4-5D6E-409C-BE32-E72D297353CC}">
              <c16:uniqueId val="{00000001-0624-46D1-ABCE-6E19AF2EAF3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Year</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 (thousands)</a:t>
                </a:r>
              </a:p>
            </c:rich>
          </c:tx>
          <c:overlay val="0"/>
          <c:spPr>
            <a:noFill/>
            <a:ln>
              <a:noFill/>
              <a:prstDash val="solid"/>
            </a:ln>
          </c:spPr>
        </c:title>
        <c:numFmt formatCode="_(* #,##0.0000_);_(* \(#,##0.0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Deposits and Advances – Actuals and Forecasts</a:t>
            </a:r>
          </a:p>
        </c:rich>
      </c:tx>
      <c:overlay val="0"/>
      <c:spPr>
        <a:noFill/>
        <a:ln>
          <a:noFill/>
          <a:prstDash val="solid"/>
        </a:ln>
      </c:spPr>
    </c:title>
    <c:autoTitleDeleted val="0"/>
    <c:plotArea>
      <c:layout/>
      <c:lineChart>
        <c:grouping val="standard"/>
        <c:varyColors val="0"/>
        <c:ser>
          <c:idx val="0"/>
          <c:order val="0"/>
          <c:tx>
            <c:v>Deposits</c:v>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Valuation!$B$36:$K$36</c:f>
              <c:numCache>
                <c:formatCode>_(* #,##0.0000_);_(* \(#,##0.0000\);_(* "-"??_);_(@_)</c:formatCode>
                <c:ptCount val="10"/>
                <c:pt idx="0">
                  <c:v>2801000452</c:v>
                </c:pt>
                <c:pt idx="1">
                  <c:v>3116841134</c:v>
                </c:pt>
                <c:pt idx="2">
                  <c:v>3630960526</c:v>
                </c:pt>
                <c:pt idx="3">
                  <c:v>4489537451</c:v>
                </c:pt>
                <c:pt idx="4">
                  <c:v>4990551352</c:v>
                </c:pt>
                <c:pt idx="5">
                  <c:v>5789039568.3199997</c:v>
                </c:pt>
                <c:pt idx="6">
                  <c:v>6715285899.2511988</c:v>
                </c:pt>
                <c:pt idx="7">
                  <c:v>7789731643.1313896</c:v>
                </c:pt>
                <c:pt idx="8">
                  <c:v>9036088706.0324116</c:v>
                </c:pt>
                <c:pt idx="9">
                  <c:v>10481862898.997601</c:v>
                </c:pt>
              </c:numCache>
            </c:numRef>
          </c:val>
          <c:smooth val="0"/>
          <c:extLst>
            <c:ext xmlns:c16="http://schemas.microsoft.com/office/drawing/2014/chart" uri="{C3380CC4-5D6E-409C-BE32-E72D297353CC}">
              <c16:uniqueId val="{00000000-C816-46E5-B1F0-F7D565F92869}"/>
            </c:ext>
          </c:extLst>
        </c:ser>
        <c:ser>
          <c:idx val="1"/>
          <c:order val="1"/>
          <c:tx>
            <c:v>Advances</c:v>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Valuation!$B$37:$K$37</c:f>
              <c:numCache>
                <c:formatCode>_(* #,##0.0000_);_(* \(#,##0.0000\);_(* "-"??_);_(@_)</c:formatCode>
                <c:ptCount val="10"/>
                <c:pt idx="0">
                  <c:v>2236886221</c:v>
                </c:pt>
                <c:pt idx="1">
                  <c:v>2712536018</c:v>
                </c:pt>
                <c:pt idx="2">
                  <c:v>3198612074</c:v>
                </c:pt>
                <c:pt idx="3">
                  <c:v>3760752659</c:v>
                </c:pt>
                <c:pt idx="4">
                  <c:v>4269092008</c:v>
                </c:pt>
                <c:pt idx="5">
                  <c:v>4994837649.3599997</c:v>
                </c:pt>
                <c:pt idx="6">
                  <c:v>5843960049.7511988</c:v>
                </c:pt>
                <c:pt idx="7">
                  <c:v>6837433258.2089024</c:v>
                </c:pt>
                <c:pt idx="8">
                  <c:v>7999796912.1044149</c:v>
                </c:pt>
                <c:pt idx="9">
                  <c:v>9359762387.1621647</c:v>
                </c:pt>
              </c:numCache>
            </c:numRef>
          </c:val>
          <c:smooth val="0"/>
          <c:extLst>
            <c:ext xmlns:c16="http://schemas.microsoft.com/office/drawing/2014/chart" uri="{C3380CC4-5D6E-409C-BE32-E72D297353CC}">
              <c16:uniqueId val="{00000001-C816-46E5-B1F0-F7D565F9286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Year</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 (thousands)</a:t>
                </a:r>
              </a:p>
            </c:rich>
          </c:tx>
          <c:overlay val="0"/>
          <c:spPr>
            <a:noFill/>
            <a:ln>
              <a:noFill/>
              <a:prstDash val="solid"/>
            </a:ln>
          </c:spPr>
        </c:title>
        <c:numFmt formatCode="_(* #,##0.0000_);_(* \(#,##0.0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ROE and ROA – Actuals and Forecasts</a:t>
            </a:r>
          </a:p>
        </c:rich>
      </c:tx>
      <c:overlay val="0"/>
    </c:title>
    <c:autoTitleDeleted val="0"/>
    <c:plotArea>
      <c:layout/>
      <c:lineChart>
        <c:grouping val="standard"/>
        <c:varyColors val="0"/>
        <c:ser>
          <c:idx val="0"/>
          <c:order val="0"/>
          <c:tx>
            <c:v>ROE</c:v>
          </c:tx>
          <c:spPr>
            <a:ln>
              <a:prstDash val="solid"/>
            </a:ln>
          </c:spPr>
          <c:marker>
            <c:symbol val="none"/>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Valuation!$B$40:$K$40</c:f>
              <c:numCache>
                <c:formatCode>0.0000%</c:formatCode>
                <c:ptCount val="10"/>
                <c:pt idx="0">
                  <c:v>5.4801595090159187E-2</c:v>
                </c:pt>
                <c:pt idx="1">
                  <c:v>5.9901157136746375E-2</c:v>
                </c:pt>
                <c:pt idx="2">
                  <c:v>6.6977380800203476E-2</c:v>
                </c:pt>
                <c:pt idx="3">
                  <c:v>7.3585355777931086E-2</c:v>
                </c:pt>
                <c:pt idx="4">
                  <c:v>7.1866546073612564E-2</c:v>
                </c:pt>
                <c:pt idx="5">
                  <c:v>8.6519106793988457E-2</c:v>
                </c:pt>
                <c:pt idx="6">
                  <c:v>0.10431253809745315</c:v>
                </c:pt>
                <c:pt idx="7">
                  <c:v>0.12570838561003994</c:v>
                </c:pt>
                <c:pt idx="8">
                  <c:v>0.15142701199280045</c:v>
                </c:pt>
                <c:pt idx="9">
                  <c:v>0.18233139217958946</c:v>
                </c:pt>
              </c:numCache>
            </c:numRef>
          </c:val>
          <c:smooth val="0"/>
          <c:extLst>
            <c:ext xmlns:c16="http://schemas.microsoft.com/office/drawing/2014/chart" uri="{C3380CC4-5D6E-409C-BE32-E72D297353CC}">
              <c16:uniqueId val="{00000000-8928-41EC-8F15-511315557A36}"/>
            </c:ext>
          </c:extLst>
        </c:ser>
        <c:dLbls>
          <c:showLegendKey val="0"/>
          <c:showVal val="0"/>
          <c:showCatName val="0"/>
          <c:showSerName val="0"/>
          <c:showPercent val="0"/>
          <c:showBubbleSize val="0"/>
        </c:dLbls>
        <c:marker val="1"/>
        <c:smooth val="0"/>
        <c:axId val="10"/>
        <c:axId val="100"/>
      </c:lineChart>
      <c:lineChart>
        <c:grouping val="standard"/>
        <c:varyColors val="0"/>
        <c:ser>
          <c:idx val="1"/>
          <c:order val="1"/>
          <c:tx>
            <c:v>ROA</c:v>
          </c:tx>
          <c:spPr>
            <a:ln>
              <a:prstDash val="solid"/>
            </a:ln>
          </c:spPr>
          <c:marker>
            <c:symbol val="none"/>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Valuation!$B$41:$K$41</c:f>
              <c:numCache>
                <c:formatCode>0.0000%</c:formatCode>
                <c:ptCount val="10"/>
                <c:pt idx="0">
                  <c:v>4.4022132818063636E-2</c:v>
                </c:pt>
                <c:pt idx="1">
                  <c:v>5.7562295888787543E-2</c:v>
                </c:pt>
                <c:pt idx="2">
                  <c:v>6.1675239963202219E-2</c:v>
                </c:pt>
                <c:pt idx="3">
                  <c:v>6.1448625695306298E-2</c:v>
                </c:pt>
                <c:pt idx="4">
                  <c:v>6.2206965474685676E-2</c:v>
                </c:pt>
                <c:pt idx="5">
                  <c:v>6.5121805119673179E-2</c:v>
                </c:pt>
                <c:pt idx="6">
                  <c:v>6.8273642759786063E-2</c:v>
                </c:pt>
                <c:pt idx="7">
                  <c:v>7.1545606806371592E-2</c:v>
                </c:pt>
                <c:pt idx="8">
                  <c:v>7.4941819806250587E-2</c:v>
                </c:pt>
                <c:pt idx="9">
                  <c:v>7.8466537646103798E-2</c:v>
                </c:pt>
              </c:numCache>
            </c:numRef>
          </c:val>
          <c:smooth val="0"/>
          <c:extLst>
            <c:ext xmlns:c16="http://schemas.microsoft.com/office/drawing/2014/chart" uri="{C3380CC4-5D6E-409C-BE32-E72D297353CC}">
              <c16:uniqueId val="{00000001-8928-41EC-8F15-511315557A36}"/>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title>
          <c:tx>
            <c:rich>
              <a:bodyPr/>
              <a:lstStyle/>
              <a:p>
                <a:pPr>
                  <a:defRPr/>
                </a:pPr>
                <a:r>
                  <a:rPr lang="en-US"/>
                  <a:t>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title>
          <c:tx>
            <c:rich>
              <a:bodyPr/>
              <a:lstStyle/>
              <a:p>
                <a:pPr>
                  <a:defRPr/>
                </a:pPr>
                <a:r>
                  <a:rPr lang="en-US"/>
                  <a:t>ROE (%)</a:t>
                </a:r>
              </a:p>
            </c:rich>
          </c:tx>
          <c:overlay val="0"/>
        </c:title>
        <c:numFmt formatCode="0.0000%" sourceLinked="1"/>
        <c:majorTickMark val="none"/>
        <c:minorTickMark val="none"/>
        <c:tickLblPos val="nextTo"/>
        <c:crossAx val="10"/>
        <c:crosses val="autoZero"/>
        <c:crossBetween val="between"/>
      </c:valAx>
      <c:valAx>
        <c:axId val="200"/>
        <c:scaling>
          <c:orientation val="minMax"/>
        </c:scaling>
        <c:delete val="0"/>
        <c:axPos val="r"/>
        <c:majorGridlines/>
        <c:title>
          <c:tx>
            <c:rich>
              <a:bodyPr/>
              <a:lstStyle/>
              <a:p>
                <a:pPr>
                  <a:defRPr/>
                </a:pPr>
                <a:r>
                  <a:rPr lang="en-US"/>
                  <a:t>ROA (%)</a:t>
                </a:r>
              </a:p>
            </c:rich>
          </c:tx>
          <c:overlay val="0"/>
        </c:title>
        <c:numFmt formatCode="0.0000%" sourceLinked="1"/>
        <c:majorTickMark val="none"/>
        <c:minorTickMark val="none"/>
        <c:tickLblPos val="nextTo"/>
        <c:crossAx val="10"/>
        <c:crosses val="max"/>
        <c:crossBetween val="between"/>
      </c:valAx>
      <c:spPr>
        <a:solidFill>
          <a:schemeClr val="bg1"/>
        </a:solidFill>
        <a:ln>
          <a:solidFill>
            <a:schemeClr val="bg1"/>
          </a:solidFill>
        </a:ln>
      </c:spPr>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Actual And</a:t>
            </a:r>
            <a:r>
              <a:rPr lang="en-US" baseline="0"/>
              <a:t> Forecast Revenue</a:t>
            </a:r>
            <a:endParaRPr lang="en-US"/>
          </a:p>
        </c:rich>
      </c:tx>
      <c:overlay val="0"/>
      <c:spPr>
        <a:noFill/>
        <a:ln>
          <a:noFill/>
          <a:prstDash val="solid"/>
        </a:ln>
      </c:spPr>
    </c:title>
    <c:autoTitleDeleted val="0"/>
    <c:plotArea>
      <c:layout>
        <c:manualLayout>
          <c:layoutTarget val="inner"/>
          <c:xMode val="edge"/>
          <c:yMode val="edge"/>
          <c:x val="0.1727340332458443"/>
          <c:y val="2.5428331875182269E-2"/>
          <c:w val="0.78282152230971125"/>
          <c:h val="0.61498432487605714"/>
        </c:manualLayout>
      </c:layout>
      <c:lineChart>
        <c:grouping val="standard"/>
        <c:varyColors val="0"/>
        <c:ser>
          <c:idx val="0"/>
          <c:order val="0"/>
          <c:tx>
            <c:strRef>
              <c:f>Charts!$B$1</c:f>
              <c:strCache>
                <c:ptCount val="1"/>
                <c:pt idx="0">
                  <c:v>Actual Revenue</c:v>
                </c:pt>
              </c:strCache>
            </c:strRef>
          </c:tx>
          <c:spPr>
            <a:ln w="28575" cap="rnd">
              <a:solidFill>
                <a:schemeClr val="accent1"/>
              </a:solidFill>
              <a:prstDash val="solid"/>
              <a:round/>
            </a:ln>
          </c:spPr>
          <c:marker>
            <c:symbol val="none"/>
          </c:marker>
          <c:cat>
            <c:strRef>
              <c:f>Charts!$A$2:$A$11</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Charts!$B$2:$B$11</c:f>
              <c:numCache>
                <c:formatCode>#,##0</c:formatCode>
                <c:ptCount val="10"/>
                <c:pt idx="0">
                  <c:v>207988361</c:v>
                </c:pt>
                <c:pt idx="1">
                  <c:v>231778178</c:v>
                </c:pt>
                <c:pt idx="2">
                  <c:v>286349662</c:v>
                </c:pt>
                <c:pt idx="3">
                  <c:v>362662001</c:v>
                </c:pt>
                <c:pt idx="4">
                  <c:v>433027775</c:v>
                </c:pt>
              </c:numCache>
            </c:numRef>
          </c:val>
          <c:smooth val="0"/>
          <c:extLst>
            <c:ext xmlns:c16="http://schemas.microsoft.com/office/drawing/2014/chart" uri="{C3380CC4-5D6E-409C-BE32-E72D297353CC}">
              <c16:uniqueId val="{00000000-7751-4C6D-9B1A-FC56489D6A6C}"/>
            </c:ext>
          </c:extLst>
        </c:ser>
        <c:ser>
          <c:idx val="1"/>
          <c:order val="1"/>
          <c:tx>
            <c:strRef>
              <c:f>Charts!$C$1</c:f>
              <c:strCache>
                <c:ptCount val="1"/>
                <c:pt idx="0">
                  <c:v>Forecast Revenue</c:v>
                </c:pt>
              </c:strCache>
            </c:strRef>
          </c:tx>
          <c:spPr>
            <a:ln w="28575" cap="rnd">
              <a:solidFill>
                <a:schemeClr val="accent1"/>
              </a:solidFill>
              <a:prstDash val="sysDash"/>
              <a:round/>
            </a:ln>
          </c:spPr>
          <c:marker>
            <c:symbol val="none"/>
          </c:marker>
          <c:cat>
            <c:strRef>
              <c:f>Charts!$A$2:$A$11</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Charts!$C$2:$C$11</c:f>
              <c:numCache>
                <c:formatCode>General</c:formatCode>
                <c:ptCount val="10"/>
                <c:pt idx="5" formatCode="#,##0">
                  <c:v>510972774.5</c:v>
                </c:pt>
                <c:pt idx="6" formatCode="#,##0">
                  <c:v>602947873.90999997</c:v>
                </c:pt>
                <c:pt idx="7" formatCode="#,##0">
                  <c:v>711478491.21379995</c:v>
                </c:pt>
                <c:pt idx="8" formatCode="#,##0">
                  <c:v>839544619.63228393</c:v>
                </c:pt>
                <c:pt idx="9" formatCode="#,##0">
                  <c:v>990662651.16609502</c:v>
                </c:pt>
              </c:numCache>
            </c:numRef>
          </c:val>
          <c:smooth val="0"/>
          <c:extLst>
            <c:ext xmlns:c16="http://schemas.microsoft.com/office/drawing/2014/chart" uri="{C3380CC4-5D6E-409C-BE32-E72D297353CC}">
              <c16:uniqueId val="{00000001-7751-4C6D-9B1A-FC56489D6A6C}"/>
            </c:ext>
          </c:extLst>
        </c:ser>
        <c:dLbls>
          <c:showLegendKey val="0"/>
          <c:showVal val="0"/>
          <c:showCatName val="0"/>
          <c:showSerName val="0"/>
          <c:showPercent val="0"/>
          <c:showBubbleSize val="0"/>
        </c:dLbls>
        <c:smooth val="0"/>
        <c:axId val="447240736"/>
        <c:axId val="447239296"/>
      </c:lineChart>
      <c:catAx>
        <c:axId val="4472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7239296"/>
        <c:crosses val="autoZero"/>
        <c:auto val="1"/>
        <c:lblAlgn val="ctr"/>
        <c:lblOffset val="100"/>
        <c:noMultiLvlLbl val="0"/>
      </c:catAx>
      <c:valAx>
        <c:axId val="447239296"/>
        <c:scaling>
          <c:orientation val="minMax"/>
        </c:scaling>
        <c:delete val="0"/>
        <c:axPos val="l"/>
        <c:majorGridlines>
          <c:spPr>
            <a:ln w="9525" cap="flat" cmpd="sng" algn="ctr">
              <a:solidFill>
                <a:srgbClr val="FF0000"/>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7240736"/>
        <c:crosses val="autoZero"/>
        <c:crossBetween val="between"/>
      </c:valAx>
      <c:spPr>
        <a:solidFill>
          <a:schemeClr val="bg1"/>
        </a:solidFill>
        <a:ln>
          <a:noFill/>
        </a:ln>
      </c:spPr>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94289949037257"/>
          <c:y val="0.25976317529955406"/>
          <c:w val="0.71875140259750858"/>
          <c:h val="0.62792416594543032"/>
        </c:manualLayout>
      </c:layout>
      <c:barChart>
        <c:barDir val="col"/>
        <c:grouping val="clustered"/>
        <c:varyColors val="0"/>
        <c:ser>
          <c:idx val="0"/>
          <c:order val="0"/>
          <c:tx>
            <c:strRef>
              <c:f>Charts!$B$20</c:f>
              <c:strCache>
                <c:ptCount val="1"/>
                <c:pt idx="0">
                  <c:v>Free Cash Flow to Equity (FCFE)</c:v>
                </c:pt>
              </c:strCache>
            </c:strRef>
          </c:tx>
          <c:spPr>
            <a:solidFill>
              <a:srgbClr val="FF0000"/>
            </a:solidFill>
            <a:ln>
              <a:noFill/>
            </a:ln>
            <a:effectLst/>
          </c:spPr>
          <c:invertIfNegative val="0"/>
          <c:cat>
            <c:strRef>
              <c:f>Charts!$A$21:$A$25</c:f>
              <c:strCache>
                <c:ptCount val="5"/>
                <c:pt idx="0">
                  <c:v>FY26</c:v>
                </c:pt>
                <c:pt idx="1">
                  <c:v>FY27</c:v>
                </c:pt>
                <c:pt idx="2">
                  <c:v>FY28</c:v>
                </c:pt>
                <c:pt idx="3">
                  <c:v>FY29</c:v>
                </c:pt>
                <c:pt idx="4">
                  <c:v>FY30</c:v>
                </c:pt>
              </c:strCache>
            </c:strRef>
          </c:cat>
          <c:val>
            <c:numRef>
              <c:f>Charts!$B$21:$B$25</c:f>
              <c:numCache>
                <c:formatCode>_(* #,##0.00_);_(* \(#,##0.00\);_(* "-"??_);_(@_)</c:formatCode>
                <c:ptCount val="5"/>
                <c:pt idx="0">
                  <c:v>228205724.81309998</c:v>
                </c:pt>
                <c:pt idx="1">
                  <c:v>272778294.250323</c:v>
                </c:pt>
                <c:pt idx="2">
                  <c:v>326003123.20100188</c:v>
                </c:pt>
                <c:pt idx="3">
                  <c:v>389550873.84021455</c:v>
                </c:pt>
                <c:pt idx="4">
                  <c:v>465413313.51783139</c:v>
                </c:pt>
              </c:numCache>
            </c:numRef>
          </c:val>
          <c:extLst>
            <c:ext xmlns:c16="http://schemas.microsoft.com/office/drawing/2014/chart" uri="{C3380CC4-5D6E-409C-BE32-E72D297353CC}">
              <c16:uniqueId val="{00000000-D8FB-4172-A140-F5F05415E6C9}"/>
            </c:ext>
          </c:extLst>
        </c:ser>
        <c:dLbls>
          <c:showLegendKey val="0"/>
          <c:showVal val="0"/>
          <c:showCatName val="0"/>
          <c:showSerName val="0"/>
          <c:showPercent val="0"/>
          <c:showBubbleSize val="0"/>
        </c:dLbls>
        <c:gapWidth val="219"/>
        <c:overlap val="-27"/>
        <c:axId val="487701823"/>
        <c:axId val="487696063"/>
      </c:barChart>
      <c:catAx>
        <c:axId val="48770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96063"/>
        <c:crosses val="autoZero"/>
        <c:auto val="1"/>
        <c:lblAlgn val="ctr"/>
        <c:lblOffset val="100"/>
        <c:noMultiLvlLbl val="0"/>
      </c:catAx>
      <c:valAx>
        <c:axId val="48769606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70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and PAT – Actuals and Forecasts</a:t>
            </a:r>
          </a:p>
        </c:rich>
      </c:tx>
      <c:overlay val="0"/>
    </c:title>
    <c:autoTitleDeleted val="0"/>
    <c:plotArea>
      <c:layout/>
      <c:lineChart>
        <c:grouping val="standard"/>
        <c:varyColors val="0"/>
        <c:ser>
          <c:idx val="0"/>
          <c:order val="0"/>
          <c:tx>
            <c:v>Revenue</c:v>
          </c:tx>
          <c:spPr>
            <a:ln>
              <a:prstDash val="solid"/>
            </a:ln>
          </c:spPr>
          <c:marker>
            <c:symbol val="none"/>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Valuation!$B$8:$K$8</c:f>
              <c:numCache>
                <c:formatCode>_(* #,##0.0000_);_(* \(#,##0.0000\);_(* "-"??_);_(@_)</c:formatCode>
                <c:ptCount val="10"/>
                <c:pt idx="0">
                  <c:v>207988361</c:v>
                </c:pt>
                <c:pt idx="1">
                  <c:v>231778178</c:v>
                </c:pt>
                <c:pt idx="2">
                  <c:v>286349662</c:v>
                </c:pt>
                <c:pt idx="3">
                  <c:v>362662001</c:v>
                </c:pt>
                <c:pt idx="4">
                  <c:v>433027775</c:v>
                </c:pt>
                <c:pt idx="5">
                  <c:v>510972774.5</c:v>
                </c:pt>
                <c:pt idx="6">
                  <c:v>602947873.90999997</c:v>
                </c:pt>
                <c:pt idx="7">
                  <c:v>711478491.21379995</c:v>
                </c:pt>
                <c:pt idx="8">
                  <c:v>839544619.63228393</c:v>
                </c:pt>
                <c:pt idx="9">
                  <c:v>990662651.16609502</c:v>
                </c:pt>
              </c:numCache>
            </c:numRef>
          </c:val>
          <c:smooth val="0"/>
          <c:extLst>
            <c:ext xmlns:c16="http://schemas.microsoft.com/office/drawing/2014/chart" uri="{C3380CC4-5D6E-409C-BE32-E72D297353CC}">
              <c16:uniqueId val="{00000000-47CE-4455-A1BC-E50F9C853C23}"/>
            </c:ext>
          </c:extLst>
        </c:ser>
        <c:ser>
          <c:idx val="1"/>
          <c:order val="1"/>
          <c:tx>
            <c:v>PAT</c:v>
          </c:tx>
          <c:spPr>
            <a:ln>
              <a:prstDash val="solid"/>
            </a:ln>
          </c:spPr>
          <c:marker>
            <c:symbol val="none"/>
          </c:marker>
          <c:cat>
            <c:strRef>
              <c:f>Valuation!$B$5:$K$5</c:f>
              <c:strCache>
                <c:ptCount val="10"/>
                <c:pt idx="0">
                  <c:v>FY21</c:v>
                </c:pt>
                <c:pt idx="1">
                  <c:v>FY22</c:v>
                </c:pt>
                <c:pt idx="2">
                  <c:v>FY23</c:v>
                </c:pt>
                <c:pt idx="3">
                  <c:v>FY24</c:v>
                </c:pt>
                <c:pt idx="4">
                  <c:v>FY25</c:v>
                </c:pt>
                <c:pt idx="5">
                  <c:v>FY26</c:v>
                </c:pt>
                <c:pt idx="6">
                  <c:v>FY27</c:v>
                </c:pt>
                <c:pt idx="7">
                  <c:v>FY28</c:v>
                </c:pt>
                <c:pt idx="8">
                  <c:v>FY29</c:v>
                </c:pt>
                <c:pt idx="9">
                  <c:v>FY30</c:v>
                </c:pt>
              </c:strCache>
            </c:strRef>
          </c:cat>
          <c:val>
            <c:numRef>
              <c:f>Valuation!$B$20:$K$20</c:f>
              <c:numCache>
                <c:formatCode>_(* #,##0.0000_);_(* \(#,##0.0000\);_(* "-"??_);_(@_)</c:formatCode>
                <c:ptCount val="10"/>
                <c:pt idx="0">
                  <c:v>46266904</c:v>
                </c:pt>
                <c:pt idx="1">
                  <c:v>57896282</c:v>
                </c:pt>
                <c:pt idx="2">
                  <c:v>74876041</c:v>
                </c:pt>
                <c:pt idx="3">
                  <c:v>95493474</c:v>
                </c:pt>
                <c:pt idx="4">
                  <c:v>113159103</c:v>
                </c:pt>
                <c:pt idx="5">
                  <c:v>136230625.40309998</c:v>
                </c:pt>
                <c:pt idx="6">
                  <c:v>164247676.94652298</c:v>
                </c:pt>
                <c:pt idx="7">
                  <c:v>197936994.78251785</c:v>
                </c:pt>
                <c:pt idx="8">
                  <c:v>238432842.30640346</c:v>
                </c:pt>
                <c:pt idx="9">
                  <c:v>287094036.30793428</c:v>
                </c:pt>
              </c:numCache>
            </c:numRef>
          </c:val>
          <c:smooth val="0"/>
          <c:extLst>
            <c:ext xmlns:c16="http://schemas.microsoft.com/office/drawing/2014/chart" uri="{C3380CC4-5D6E-409C-BE32-E72D297353CC}">
              <c16:uniqueId val="{00000001-47CE-4455-A1BC-E50F9C853C23}"/>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 (thousands)</a:t>
                </a:r>
              </a:p>
            </c:rich>
          </c:tx>
          <c:overlay val="0"/>
        </c:title>
        <c:numFmt formatCode="_(* #,##0.0000_);_(* \(#,##0.0000\);_(* &quot;-&quot;??_);_(@_)"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manualLayout>
          <c:xMode val="edge"/>
          <c:yMode val="edge"/>
          <c:x val="0.54721512406280048"/>
          <c:y val="0"/>
        </c:manualLayout>
      </c:layout>
      <c:overlay val="0"/>
      <c:spPr>
        <a:noFill/>
        <a:ln>
          <a:noFill/>
          <a:prstDash val="solid"/>
        </a:ln>
      </c:spPr>
    </c:title>
    <c:autoTitleDeleted val="0"/>
    <c:plotArea>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trendline>
            <c:spPr>
              <a:ln w="19050" cap="rnd">
                <a:solidFill>
                  <a:schemeClr val="accent1"/>
                </a:solidFill>
                <a:prstDash val="sysDot"/>
              </a:ln>
            </c:spPr>
            <c:trendlineType val="linear"/>
            <c:dispRSqr val="0"/>
            <c:dispEq val="0"/>
          </c:trendline>
          <c:cat>
            <c:strRef>
              <c:f>Notes!$B$11:$F$11</c:f>
              <c:strCache>
                <c:ptCount val="5"/>
                <c:pt idx="0">
                  <c:v>FY26</c:v>
                </c:pt>
                <c:pt idx="1">
                  <c:v>FY27</c:v>
                </c:pt>
                <c:pt idx="2">
                  <c:v>FY28</c:v>
                </c:pt>
                <c:pt idx="3">
                  <c:v>FY29</c:v>
                </c:pt>
                <c:pt idx="4">
                  <c:v>FY30</c:v>
                </c:pt>
              </c:strCache>
            </c:strRef>
          </c:cat>
          <c:val>
            <c:numRef>
              <c:f>Notes!$B$12:$F$12</c:f>
              <c:numCache>
                <c:formatCode>_(* #,##0.0000_);_(* \(#,##0.0000\);_(* "-"??_);_(@_)</c:formatCode>
                <c:ptCount val="5"/>
                <c:pt idx="0">
                  <c:v>228205724.81309998</c:v>
                </c:pt>
                <c:pt idx="1">
                  <c:v>272778294.250323</c:v>
                </c:pt>
                <c:pt idx="2">
                  <c:v>326003123.20100188</c:v>
                </c:pt>
                <c:pt idx="3">
                  <c:v>389550873.84021455</c:v>
                </c:pt>
                <c:pt idx="4">
                  <c:v>465413313.51783139</c:v>
                </c:pt>
              </c:numCache>
            </c:numRef>
          </c:val>
          <c:smooth val="0"/>
          <c:extLst>
            <c:ext xmlns:c16="http://schemas.microsoft.com/office/drawing/2014/chart" uri="{C3380CC4-5D6E-409C-BE32-E72D297353CC}">
              <c16:uniqueId val="{00000001-2962-4897-9F25-137ABA988C85}"/>
            </c:ext>
          </c:extLst>
        </c:ser>
        <c:ser>
          <c:idx val="1"/>
          <c:order val="1"/>
          <c:spPr>
            <a:ln w="28575" cap="rnd">
              <a:solidFill>
                <a:schemeClr val="accent3"/>
              </a:solidFill>
              <a:prstDash val="solid"/>
              <a:round/>
            </a:ln>
          </c:spPr>
          <c:marker>
            <c:symbol val="circle"/>
            <c:size val="5"/>
            <c:spPr>
              <a:solidFill>
                <a:schemeClr val="accent3"/>
              </a:solidFill>
              <a:ln w="9525">
                <a:solidFill>
                  <a:schemeClr val="accent3"/>
                </a:solidFill>
                <a:prstDash val="solid"/>
              </a:ln>
            </c:spPr>
          </c:marker>
          <c:cat>
            <c:strRef>
              <c:f>Notes!$B$11:$F$11</c:f>
              <c:strCache>
                <c:ptCount val="5"/>
                <c:pt idx="0">
                  <c:v>FY26</c:v>
                </c:pt>
                <c:pt idx="1">
                  <c:v>FY27</c:v>
                </c:pt>
                <c:pt idx="2">
                  <c:v>FY28</c:v>
                </c:pt>
                <c:pt idx="3">
                  <c:v>FY29</c:v>
                </c:pt>
                <c:pt idx="4">
                  <c:v>FY30</c:v>
                </c:pt>
              </c:strCache>
            </c:strRef>
          </c:cat>
          <c:val>
            <c:numRef>
              <c:f>Notes!$B$13:$F$13</c:f>
              <c:numCache>
                <c:formatCode>_(* #,##0.0000_);_(* \(#,##0.0000\);_(* "-"??_);_(@_)</c:formatCode>
                <c:ptCount val="5"/>
                <c:pt idx="0">
                  <c:v>207459749.83009088</c:v>
                </c:pt>
                <c:pt idx="1">
                  <c:v>225436606.81844872</c:v>
                </c:pt>
                <c:pt idx="2">
                  <c:v>244930971.60105318</c:v>
                </c:pt>
                <c:pt idx="3">
                  <c:v>266068488.38208759</c:v>
                </c:pt>
                <c:pt idx="4">
                  <c:v>288985050.39883715</c:v>
                </c:pt>
              </c:numCache>
            </c:numRef>
          </c:val>
          <c:smooth val="0"/>
          <c:extLst>
            <c:ext xmlns:c16="http://schemas.microsoft.com/office/drawing/2014/chart" uri="{C3380CC4-5D6E-409C-BE32-E72D297353CC}">
              <c16:uniqueId val="{00000002-2962-4897-9F25-137ABA988C85}"/>
            </c:ext>
          </c:extLst>
        </c:ser>
        <c:ser>
          <c:idx val="2"/>
          <c:order val="2"/>
          <c:spPr>
            <a:ln w="28575" cap="rnd">
              <a:solidFill>
                <a:schemeClr val="accent4"/>
              </a:solidFill>
              <a:prstDash val="solid"/>
              <a:round/>
            </a:ln>
          </c:spPr>
          <c:marker>
            <c:symbol val="circle"/>
            <c:size val="5"/>
            <c:spPr>
              <a:solidFill>
                <a:schemeClr val="accent4"/>
              </a:solidFill>
              <a:ln w="9525">
                <a:solidFill>
                  <a:schemeClr val="accent4"/>
                </a:solidFill>
                <a:prstDash val="solid"/>
              </a:ln>
            </c:spPr>
          </c:marker>
          <c:cat>
            <c:strRef>
              <c:f>Notes!$B$11:$F$11</c:f>
              <c:strCache>
                <c:ptCount val="5"/>
                <c:pt idx="0">
                  <c:v>FY26</c:v>
                </c:pt>
                <c:pt idx="1">
                  <c:v>FY27</c:v>
                </c:pt>
                <c:pt idx="2">
                  <c:v>FY28</c:v>
                </c:pt>
                <c:pt idx="3">
                  <c:v>FY29</c:v>
                </c:pt>
                <c:pt idx="4">
                  <c:v>FY30</c:v>
                </c:pt>
              </c:strCache>
            </c:strRef>
          </c:cat>
          <c:val>
            <c:numRef>
              <c:f>Notes!$B$14:$F$14</c:f>
              <c:numCache>
                <c:formatCode>_(* #,##0.0000_);_(* \(#,##0.0000\);_(* "-"??_);_(@_)</c:formatCode>
                <c:ptCount val="5"/>
                <c:pt idx="0">
                  <c:v>206054830.53101578</c:v>
                </c:pt>
                <c:pt idx="1">
                  <c:v>222393627.89136091</c:v>
                </c:pt>
                <c:pt idx="2">
                  <c:v>239988568.96148351</c:v>
                </c:pt>
                <c:pt idx="3">
                  <c:v>258934097.16733208</c:v>
                </c:pt>
                <c:pt idx="4">
                  <c:v>279331637.9450891</c:v>
                </c:pt>
              </c:numCache>
            </c:numRef>
          </c:val>
          <c:smooth val="0"/>
          <c:extLst>
            <c:ext xmlns:c16="http://schemas.microsoft.com/office/drawing/2014/chart" uri="{C3380CC4-5D6E-409C-BE32-E72D297353CC}">
              <c16:uniqueId val="{00000003-2962-4897-9F25-137ABA988C85}"/>
            </c:ext>
          </c:extLst>
        </c:ser>
        <c:ser>
          <c:idx val="3"/>
          <c:order val="3"/>
          <c:spPr>
            <a:ln w="28575" cap="rnd">
              <a:solidFill>
                <a:schemeClr val="accent5"/>
              </a:solidFill>
              <a:prstDash val="solid"/>
              <a:round/>
            </a:ln>
          </c:spPr>
          <c:marker>
            <c:symbol val="circle"/>
            <c:size val="5"/>
            <c:spPr>
              <a:solidFill>
                <a:schemeClr val="accent5"/>
              </a:solidFill>
              <a:ln w="9525">
                <a:solidFill>
                  <a:schemeClr val="accent5"/>
                </a:solidFill>
                <a:prstDash val="solid"/>
              </a:ln>
            </c:spPr>
          </c:marker>
          <c:cat>
            <c:strRef>
              <c:f>Notes!$B$11:$F$11</c:f>
              <c:strCache>
                <c:ptCount val="5"/>
                <c:pt idx="0">
                  <c:v>FY26</c:v>
                </c:pt>
                <c:pt idx="1">
                  <c:v>FY27</c:v>
                </c:pt>
                <c:pt idx="2">
                  <c:v>FY28</c:v>
                </c:pt>
                <c:pt idx="3">
                  <c:v>FY29</c:v>
                </c:pt>
                <c:pt idx="4">
                  <c:v>FY30</c:v>
                </c:pt>
              </c:strCache>
            </c:strRef>
          </c:cat>
          <c:val>
            <c:numRef>
              <c:f>Notes!$B$15:$F$15</c:f>
              <c:numCache>
                <c:formatCode>_(* #,##0.0000_);_(* \(#,##0.0000\);_(* "-"??_);_(@_)</c:formatCode>
                <c:ptCount val="5"/>
                <c:pt idx="0">
                  <c:v>204668811.49156949</c:v>
                </c:pt>
                <c:pt idx="1">
                  <c:v>219411847.61432806</c:v>
                </c:pt>
                <c:pt idx="2">
                  <c:v>235178252.28054574</c:v>
                </c:pt>
                <c:pt idx="3">
                  <c:v>252037238.98155007</c:v>
                </c:pt>
                <c:pt idx="4">
                  <c:v>270062613.10753804</c:v>
                </c:pt>
              </c:numCache>
            </c:numRef>
          </c:val>
          <c:smooth val="0"/>
          <c:extLst>
            <c:ext xmlns:c16="http://schemas.microsoft.com/office/drawing/2014/chart" uri="{C3380CC4-5D6E-409C-BE32-E72D297353CC}">
              <c16:uniqueId val="{00000004-2962-4897-9F25-137ABA988C85}"/>
            </c:ext>
          </c:extLst>
        </c:ser>
        <c:ser>
          <c:idx val="4"/>
          <c:order val="4"/>
          <c:spPr>
            <a:ln w="28575" cap="rnd">
              <a:solidFill>
                <a:schemeClr val="accent6"/>
              </a:solidFill>
              <a:prstDash val="solid"/>
              <a:round/>
            </a:ln>
          </c:spPr>
          <c:marker>
            <c:symbol val="circle"/>
            <c:size val="5"/>
            <c:spPr>
              <a:solidFill>
                <a:schemeClr val="accent6"/>
              </a:solidFill>
              <a:ln w="9525">
                <a:solidFill>
                  <a:schemeClr val="accent6"/>
                </a:solidFill>
                <a:prstDash val="solid"/>
              </a:ln>
            </c:spPr>
          </c:marker>
          <c:cat>
            <c:strRef>
              <c:f>Notes!$B$11:$F$11</c:f>
              <c:strCache>
                <c:ptCount val="5"/>
                <c:pt idx="0">
                  <c:v>FY26</c:v>
                </c:pt>
                <c:pt idx="1">
                  <c:v>FY27</c:v>
                </c:pt>
                <c:pt idx="2">
                  <c:v>FY28</c:v>
                </c:pt>
                <c:pt idx="3">
                  <c:v>FY29</c:v>
                </c:pt>
                <c:pt idx="4">
                  <c:v>FY30</c:v>
                </c:pt>
              </c:strCache>
            </c:strRef>
          </c:cat>
          <c:val>
            <c:numRef>
              <c:f>Notes!$B$16:$F$16</c:f>
              <c:numCache>
                <c:formatCode>_(* #,##0.0000_);_(* \(#,##0.0000\);_(* "-"??_);_(@_)</c:formatCode>
                <c:ptCount val="5"/>
                <c:pt idx="0">
                  <c:v>203755111.44026783</c:v>
                </c:pt>
                <c:pt idx="1">
                  <c:v>217457186.10516816</c:v>
                </c:pt>
                <c:pt idx="2">
                  <c:v>232042583.81995505</c:v>
                </c:pt>
                <c:pt idx="3">
                  <c:v>247566622.78385597</c:v>
                </c:pt>
                <c:pt idx="4">
                  <c:v>264088013.09899771</c:v>
                </c:pt>
              </c:numCache>
            </c:numRef>
          </c:val>
          <c:smooth val="0"/>
          <c:extLst>
            <c:ext xmlns:c16="http://schemas.microsoft.com/office/drawing/2014/chart" uri="{C3380CC4-5D6E-409C-BE32-E72D297353CC}">
              <c16:uniqueId val="{00000005-2962-4897-9F25-137ABA988C85}"/>
            </c:ext>
          </c:extLst>
        </c:ser>
        <c:dLbls>
          <c:showLegendKey val="0"/>
          <c:showVal val="0"/>
          <c:showCatName val="0"/>
          <c:showSerName val="0"/>
          <c:showPercent val="0"/>
          <c:showBubbleSize val="0"/>
        </c:dLbls>
        <c:marker val="1"/>
        <c:smooth val="0"/>
        <c:axId val="447222496"/>
        <c:axId val="447210496"/>
      </c:lineChart>
      <c:catAx>
        <c:axId val="44722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7210496"/>
        <c:crosses val="autoZero"/>
        <c:auto val="1"/>
        <c:lblAlgn val="ctr"/>
        <c:lblOffset val="100"/>
        <c:noMultiLvlLbl val="0"/>
      </c:catAx>
      <c:valAx>
        <c:axId val="447210496"/>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00_);_(* \(#,##0.0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722249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Peer P/B Comparison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Peer P/B Comparison</a:t>
          </a:r>
        </a:p>
      </cx:txPr>
    </cx:title>
    <cx:plotArea>
      <cx:plotAreaRegion>
        <cx:series layoutId="funnel" uniqueId="{458EEF95-7AFC-49BC-A1DE-0F3A6EAA6540}">
          <cx:spPr>
            <a:solidFill>
              <a:srgbClr val="FF0000"/>
            </a:solidFill>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55858</xdr:colOff>
      <xdr:row>55</xdr:row>
      <xdr:rowOff>89108</xdr:rowOff>
    </xdr:from>
    <xdr:to>
      <xdr:col>0</xdr:col>
      <xdr:colOff>671997</xdr:colOff>
      <xdr:row>58</xdr:row>
      <xdr:rowOff>156231</xdr:rowOff>
    </xdr:to>
    <xdr:pic>
      <xdr:nvPicPr>
        <xdr:cNvPr id="7" name="Picture 6" descr="A blue circle with white and red logo&#10;&#10;Description automatically generated">
          <a:extLst>
            <a:ext uri="{FF2B5EF4-FFF2-40B4-BE49-F238E27FC236}">
              <a16:creationId xmlns:a16="http://schemas.microsoft.com/office/drawing/2014/main" id="{2837D69C-D30C-6743-6794-0C1DCD7267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58" y="10346800"/>
          <a:ext cx="616139" cy="616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119674</xdr:colOff>
      <xdr:row>3</xdr:row>
      <xdr:rowOff>124312</xdr:rowOff>
    </xdr:from>
    <xdr:to>
      <xdr:col>30</xdr:col>
      <xdr:colOff>73270</xdr:colOff>
      <xdr:row>20</xdr:row>
      <xdr:rowOff>122115</xdr:rowOff>
    </xdr:to>
    <xdr:graphicFrame macro="">
      <xdr:nvGraphicFramePr>
        <xdr:cNvPr id="4" name="Chart 4">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461596</xdr:colOff>
      <xdr:row>22</xdr:row>
      <xdr:rowOff>87679</xdr:rowOff>
    </xdr:from>
    <xdr:to>
      <xdr:col>29</xdr:col>
      <xdr:colOff>148981</xdr:colOff>
      <xdr:row>40</xdr:row>
      <xdr:rowOff>83283</xdr:rowOff>
    </xdr:to>
    <xdr:graphicFrame macro="">
      <xdr:nvGraphicFramePr>
        <xdr:cNvPr id="5" name="Chart 5">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12</xdr:col>
      <xdr:colOff>0</xdr:colOff>
      <xdr:row>4</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12</xdr:col>
      <xdr:colOff>0</xdr:colOff>
      <xdr:row>19</xdr:row>
      <xdr:rowOff>0</xdr:rowOff>
    </xdr:from>
    <xdr:ext cx="5400000" cy="27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12</xdr:col>
      <xdr:colOff>0</xdr:colOff>
      <xdr:row>37</xdr:row>
      <xdr:rowOff>0</xdr:rowOff>
    </xdr:from>
    <xdr:ext cx="5400000" cy="2700000"/>
    <xdr:graphicFrame macro="">
      <xdr:nvGraphicFramePr>
        <xdr:cNvPr id="6" name="Chart 3">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twoCellAnchor editAs="oneCell">
    <xdr:from>
      <xdr:col>0</xdr:col>
      <xdr:colOff>0</xdr:colOff>
      <xdr:row>42</xdr:row>
      <xdr:rowOff>0</xdr:rowOff>
    </xdr:from>
    <xdr:to>
      <xdr:col>0</xdr:col>
      <xdr:colOff>649941</xdr:colOff>
      <xdr:row>45</xdr:row>
      <xdr:rowOff>86608</xdr:rowOff>
    </xdr:to>
    <xdr:pic>
      <xdr:nvPicPr>
        <xdr:cNvPr id="7" name="Picture 6" descr="A blue circle with white and red logo&#10;&#10;Description automatically generated">
          <a:extLst>
            <a:ext uri="{FF2B5EF4-FFF2-40B4-BE49-F238E27FC236}">
              <a16:creationId xmlns:a16="http://schemas.microsoft.com/office/drawing/2014/main" id="{ECA461C8-A36B-5A72-319A-7B4D36545E7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7888941"/>
          <a:ext cx="649941" cy="6469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21896</xdr:colOff>
      <xdr:row>31</xdr:row>
      <xdr:rowOff>98535</xdr:rowOff>
    </xdr:from>
    <xdr:to>
      <xdr:col>0</xdr:col>
      <xdr:colOff>667844</xdr:colOff>
      <xdr:row>34</xdr:row>
      <xdr:rowOff>183101</xdr:rowOff>
    </xdr:to>
    <xdr:pic>
      <xdr:nvPicPr>
        <xdr:cNvPr id="2" name="Picture 1" descr="A blue circle with white and red logo&#10;&#10;Description automatically generated">
          <a:extLst>
            <a:ext uri="{FF2B5EF4-FFF2-40B4-BE49-F238E27FC236}">
              <a16:creationId xmlns:a16="http://schemas.microsoft.com/office/drawing/2014/main" id="{B56E3990-619D-CEFA-22DD-0A862501DA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96" y="5901121"/>
          <a:ext cx="645948" cy="6429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33513</xdr:colOff>
      <xdr:row>0</xdr:row>
      <xdr:rowOff>92428</xdr:rowOff>
    </xdr:from>
    <xdr:to>
      <xdr:col>11</xdr:col>
      <xdr:colOff>345721</xdr:colOff>
      <xdr:row>15</xdr:row>
      <xdr:rowOff>31045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D076F81-6BEE-4515-0697-B0507BB0FC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371313" y="92428"/>
              <a:ext cx="4579408" cy="27326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xdr:colOff>
      <xdr:row>32</xdr:row>
      <xdr:rowOff>0</xdr:rowOff>
    </xdr:from>
    <xdr:to>
      <xdr:col>0</xdr:col>
      <xdr:colOff>862643</xdr:colOff>
      <xdr:row>36</xdr:row>
      <xdr:rowOff>139741</xdr:rowOff>
    </xdr:to>
    <xdr:pic>
      <xdr:nvPicPr>
        <xdr:cNvPr id="2" name="Picture 1" descr="A blue circle with white and red logo&#10;&#10;Description automatically generated">
          <a:extLst>
            <a:ext uri="{FF2B5EF4-FFF2-40B4-BE49-F238E27FC236}">
              <a16:creationId xmlns:a16="http://schemas.microsoft.com/office/drawing/2014/main" id="{1B095937-ECAC-8B5B-E31A-C08A8B275F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6901132"/>
          <a:ext cx="862642" cy="8586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590550</xdr:colOff>
      <xdr:row>1</xdr:row>
      <xdr:rowOff>38100</xdr:rowOff>
    </xdr:from>
    <xdr:to>
      <xdr:col>12</xdr:col>
      <xdr:colOff>285750</xdr:colOff>
      <xdr:row>16</xdr:row>
      <xdr:rowOff>19050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602510</xdr:colOff>
      <xdr:row>18</xdr:row>
      <xdr:rowOff>154197</xdr:rowOff>
    </xdr:from>
    <xdr:to>
      <xdr:col>10</xdr:col>
      <xdr:colOff>267428</xdr:colOff>
      <xdr:row>29</xdr:row>
      <xdr:rowOff>184103</xdr:rowOff>
    </xdr:to>
    <xdr:graphicFrame macro="">
      <xdr:nvGraphicFramePr>
        <xdr:cNvPr id="3" name="Chart 2">
          <a:extLst>
            <a:ext uri="{FF2B5EF4-FFF2-40B4-BE49-F238E27FC236}">
              <a16:creationId xmlns:a16="http://schemas.microsoft.com/office/drawing/2014/main" id="{2A5510F4-4BC7-9F89-470A-9AAF54097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27</xdr:row>
      <xdr:rowOff>0</xdr:rowOff>
    </xdr:from>
    <xdr:to>
      <xdr:col>1</xdr:col>
      <xdr:colOff>118049</xdr:colOff>
      <xdr:row>30</xdr:row>
      <xdr:rowOff>167569</xdr:rowOff>
    </xdr:to>
    <xdr:pic>
      <xdr:nvPicPr>
        <xdr:cNvPr id="4" name="Picture 3" descr="A blue circle with white and red logo&#10;&#10;Description automatically generated">
          <a:extLst>
            <a:ext uri="{FF2B5EF4-FFF2-40B4-BE49-F238E27FC236}">
              <a16:creationId xmlns:a16="http://schemas.microsoft.com/office/drawing/2014/main" id="{79C37B77-241F-ED1D-A8E7-1380C06A99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5000625"/>
          <a:ext cx="726591" cy="7231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14</xdr:row>
      <xdr:rowOff>0</xdr:rowOff>
    </xdr:from>
    <xdr:ext cx="5400000" cy="27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editAs="oneCell">
    <xdr:from>
      <xdr:col>0</xdr:col>
      <xdr:colOff>0</xdr:colOff>
      <xdr:row>30</xdr:row>
      <xdr:rowOff>0</xdr:rowOff>
    </xdr:from>
    <xdr:to>
      <xdr:col>0</xdr:col>
      <xdr:colOff>747351</xdr:colOff>
      <xdr:row>34</xdr:row>
      <xdr:rowOff>18143</xdr:rowOff>
    </xdr:to>
    <xdr:pic>
      <xdr:nvPicPr>
        <xdr:cNvPr id="3" name="Picture 2" descr="A blue circle with white and red logo&#10;&#10;Description automatically generated">
          <a:extLst>
            <a:ext uri="{FF2B5EF4-FFF2-40B4-BE49-F238E27FC236}">
              <a16:creationId xmlns:a16="http://schemas.microsoft.com/office/drawing/2014/main" id="{326122BB-ACE2-F4E7-CDD2-472A30A181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5479143"/>
          <a:ext cx="747351" cy="743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7057</xdr:colOff>
      <xdr:row>0</xdr:row>
      <xdr:rowOff>17336</xdr:rowOff>
    </xdr:from>
    <xdr:to>
      <xdr:col>15</xdr:col>
      <xdr:colOff>345723</xdr:colOff>
      <xdr:row>14</xdr:row>
      <xdr:rowOff>39107</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47</xdr:row>
      <xdr:rowOff>0</xdr:rowOff>
    </xdr:from>
    <xdr:to>
      <xdr:col>0</xdr:col>
      <xdr:colOff>656649</xdr:colOff>
      <xdr:row>50</xdr:row>
      <xdr:rowOff>90737</xdr:rowOff>
    </xdr:to>
    <xdr:pic>
      <xdr:nvPicPr>
        <xdr:cNvPr id="3" name="Picture 2" descr="A blue circle with white and red logo&#10;&#10;Description automatically generated">
          <a:extLst>
            <a:ext uri="{FF2B5EF4-FFF2-40B4-BE49-F238E27FC236}">
              <a16:creationId xmlns:a16="http://schemas.microsoft.com/office/drawing/2014/main" id="{D8CC22A2-88A2-B74D-F931-39259E253A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13046364"/>
          <a:ext cx="656648" cy="6535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0</xdr:col>
      <xdr:colOff>617916</xdr:colOff>
      <xdr:row>23</xdr:row>
      <xdr:rowOff>70556</xdr:rowOff>
    </xdr:to>
    <xdr:pic>
      <xdr:nvPicPr>
        <xdr:cNvPr id="4" name="Picture 3">
          <a:extLst>
            <a:ext uri="{FF2B5EF4-FFF2-40B4-BE49-F238E27FC236}">
              <a16:creationId xmlns:a16="http://schemas.microsoft.com/office/drawing/2014/main" id="{A8BEDC94-A91A-9DBF-8029-06EC49460460}"/>
            </a:ext>
          </a:extLst>
        </xdr:cNvPr>
        <xdr:cNvPicPr>
          <a:picLocks noChangeAspect="1"/>
        </xdr:cNvPicPr>
      </xdr:nvPicPr>
      <xdr:blipFill>
        <a:blip xmlns:r="http://schemas.openxmlformats.org/officeDocument/2006/relationships" r:embed="rId1"/>
        <a:stretch>
          <a:fillRect/>
        </a:stretch>
      </xdr:blipFill>
      <xdr:spPr>
        <a:xfrm>
          <a:off x="0" y="3678968"/>
          <a:ext cx="617916" cy="61484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screener.in/company/HDFCBANK/" TargetMode="External"/><Relationship Id="rId13" Type="http://schemas.openxmlformats.org/officeDocument/2006/relationships/hyperlink" Target="https://incwert.com/equity-risk-premium-2025/" TargetMode="External"/><Relationship Id="rId3" Type="http://schemas.openxmlformats.org/officeDocument/2006/relationships/hyperlink" Target="https://finbox.com/BSE%3A500247/explorer/total_rev_cagr_5y/" TargetMode="External"/><Relationship Id="rId7" Type="http://schemas.openxmlformats.org/officeDocument/2006/relationships/hyperlink" Target="https://www.alphaspread.com/security/nse/kotakbank/investor-relations" TargetMode="External"/><Relationship Id="rId12" Type="http://schemas.openxmlformats.org/officeDocument/2006/relationships/hyperlink" Target="https://www.screener.in/company/SBIN/" TargetMode="External"/><Relationship Id="rId2" Type="http://schemas.openxmlformats.org/officeDocument/2006/relationships/hyperlink" Target="https://tradingeconomics.com/india/gdp-growth-annual" TargetMode="External"/><Relationship Id="rId1" Type="http://schemas.openxmlformats.org/officeDocument/2006/relationships/hyperlink" Target="https://www.screener.in/company/KOTAKBANK/consolidated/" TargetMode="External"/><Relationship Id="rId6" Type="http://schemas.openxmlformats.org/officeDocument/2006/relationships/hyperlink" Target="https://bfsi.economictimes.indiatimes.com/articles/kotak-mahindra-banks-powerful-growth-strategy-aiming-for-a-17-cagr-in-advances-and-nii-by-fy28/122848662" TargetMode="External"/><Relationship Id="rId11" Type="http://schemas.openxmlformats.org/officeDocument/2006/relationships/hyperlink" Target="https://www.screener.in/company/INDUSINDBK/" TargetMode="External"/><Relationship Id="rId5" Type="http://schemas.openxmlformats.org/officeDocument/2006/relationships/hyperlink" Target="https://www.alphaspread.com/security/nse/kotakbank/analyst-estimates" TargetMode="External"/><Relationship Id="rId15" Type="http://schemas.openxmlformats.org/officeDocument/2006/relationships/drawing" Target="../drawings/drawing8.xml"/><Relationship Id="rId10" Type="http://schemas.openxmlformats.org/officeDocument/2006/relationships/hyperlink" Target="https://www.screener.in/company/AXISBANK/" TargetMode="External"/><Relationship Id="rId4" Type="http://schemas.openxmlformats.org/officeDocument/2006/relationships/hyperlink" Target="https://finbox.com/NSEI%3AKOTAKBANK/explorer/oper_inc_cagr_5y/" TargetMode="External"/><Relationship Id="rId9" Type="http://schemas.openxmlformats.org/officeDocument/2006/relationships/hyperlink" Target="https://www.screener.in/company/ICICIBANK/" TargetMode="External"/><Relationship Id="rId14" Type="http://schemas.openxmlformats.org/officeDocument/2006/relationships/hyperlink" Target="https://www.moneycontrol.com/india/stockpricequote/banks-private-sector/kotakmahindrabank/KM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opLeftCell="A17" zoomScale="52" zoomScaleNormal="100" workbookViewId="0">
      <selection activeCell="C60" sqref="C60"/>
    </sheetView>
  </sheetViews>
  <sheetFormatPr defaultRowHeight="14.5" x14ac:dyDescent="0.35"/>
  <cols>
    <col min="1" max="1" width="17" customWidth="1"/>
    <col min="2" max="2" width="28" bestFit="1" customWidth="1"/>
    <col min="3" max="3" width="13.81640625" bestFit="1" customWidth="1"/>
    <col min="4" max="4" width="13.54296875" bestFit="1" customWidth="1"/>
    <col min="5" max="5" width="14.453125" customWidth="1"/>
    <col min="6" max="6" width="13.6328125" customWidth="1"/>
    <col min="7" max="7" width="14.08984375" customWidth="1"/>
  </cols>
  <sheetData>
    <row r="1" spans="1:7" x14ac:dyDescent="0.35">
      <c r="A1" s="15" t="s">
        <v>0</v>
      </c>
      <c r="B1" s="15" t="s">
        <v>1</v>
      </c>
      <c r="C1" s="15" t="s">
        <v>2</v>
      </c>
      <c r="D1" s="15" t="s">
        <v>3</v>
      </c>
      <c r="E1" s="15" t="s">
        <v>4</v>
      </c>
      <c r="F1" s="15" t="s">
        <v>5</v>
      </c>
      <c r="G1" s="15" t="s">
        <v>6</v>
      </c>
    </row>
    <row r="2" spans="1:7" ht="15" customHeight="1" x14ac:dyDescent="0.35">
      <c r="A2" t="s">
        <v>7</v>
      </c>
      <c r="B2" t="s">
        <v>8</v>
      </c>
      <c r="C2" s="2">
        <v>2801000452</v>
      </c>
      <c r="D2" s="2">
        <v>3116841134</v>
      </c>
      <c r="E2" s="2">
        <v>3630960526</v>
      </c>
      <c r="F2" s="2">
        <v>4489537451</v>
      </c>
      <c r="G2" s="2">
        <v>4990551352</v>
      </c>
    </row>
    <row r="3" spans="1:7" ht="15" customHeight="1" x14ac:dyDescent="0.35">
      <c r="B3" t="s">
        <v>9</v>
      </c>
      <c r="C3" s="2">
        <v>2521700000</v>
      </c>
      <c r="D3" s="2">
        <v>3044740000</v>
      </c>
      <c r="E3" s="2">
        <v>3591070000</v>
      </c>
      <c r="F3" s="2">
        <v>4303520000</v>
      </c>
      <c r="G3" s="2">
        <v>4861660000</v>
      </c>
    </row>
    <row r="4" spans="1:7" x14ac:dyDescent="0.35">
      <c r="B4" t="s">
        <v>10</v>
      </c>
      <c r="C4" s="2">
        <v>1165650000</v>
      </c>
      <c r="D4" s="2">
        <v>1159070000</v>
      </c>
      <c r="E4" s="2">
        <v>1393590000</v>
      </c>
      <c r="F4" s="2">
        <v>1753020000</v>
      </c>
      <c r="G4" s="2">
        <v>2028990000</v>
      </c>
    </row>
    <row r="5" spans="1:7" x14ac:dyDescent="0.35">
      <c r="B5" t="s">
        <v>11</v>
      </c>
      <c r="C5" s="2">
        <v>4788540000</v>
      </c>
      <c r="D5" s="2">
        <v>5464980000</v>
      </c>
      <c r="E5" s="2">
        <v>6204300000</v>
      </c>
      <c r="F5" s="2">
        <v>7676670000</v>
      </c>
      <c r="G5" s="2">
        <v>8797740000</v>
      </c>
    </row>
    <row r="6" spans="1:7" x14ac:dyDescent="0.35">
      <c r="B6" t="s">
        <v>12</v>
      </c>
      <c r="C6" s="2">
        <v>844261995</v>
      </c>
      <c r="D6" s="2">
        <v>966530277</v>
      </c>
      <c r="E6" s="2">
        <v>1117930264</v>
      </c>
      <c r="F6" s="2">
        <v>1297723888</v>
      </c>
      <c r="G6" s="2">
        <v>1574572721</v>
      </c>
    </row>
    <row r="7" spans="1:7" x14ac:dyDescent="0.35">
      <c r="B7" t="s">
        <v>13</v>
      </c>
      <c r="C7" s="2">
        <v>1981835668</v>
      </c>
      <c r="D7" s="2">
        <v>1984661760</v>
      </c>
      <c r="E7" s="2">
        <v>1985666543</v>
      </c>
      <c r="F7" s="2">
        <v>1987326015</v>
      </c>
      <c r="G7" s="2">
        <v>1988096870</v>
      </c>
    </row>
    <row r="8" spans="1:7" x14ac:dyDescent="0.35">
      <c r="B8" t="s">
        <v>14</v>
      </c>
      <c r="C8" s="2">
        <v>236506455</v>
      </c>
      <c r="D8" s="2">
        <v>259671169</v>
      </c>
      <c r="E8" s="2">
        <v>234162684</v>
      </c>
      <c r="F8" s="2">
        <v>283680956</v>
      </c>
      <c r="G8" s="2">
        <v>484427559</v>
      </c>
    </row>
    <row r="9" spans="1:7" ht="15" customHeight="1" x14ac:dyDescent="0.35">
      <c r="B9" t="s">
        <v>15</v>
      </c>
      <c r="C9" s="2">
        <v>396265318</v>
      </c>
      <c r="D9" s="2">
        <v>429239351</v>
      </c>
      <c r="E9" s="2">
        <v>325423078</v>
      </c>
      <c r="F9" s="2">
        <v>527884021</v>
      </c>
      <c r="G9" s="2">
        <v>657791535</v>
      </c>
    </row>
    <row r="10" spans="1:7" ht="15" customHeight="1" x14ac:dyDescent="0.35">
      <c r="B10" t="s">
        <v>16</v>
      </c>
      <c r="C10" s="2">
        <f>C8-C9</f>
        <v>-159758863</v>
      </c>
      <c r="D10" s="2">
        <f>D8-D9</f>
        <v>-169568182</v>
      </c>
      <c r="E10" s="2">
        <f>E8-E9</f>
        <v>-91260394</v>
      </c>
      <c r="F10" s="2">
        <f>F8-F9</f>
        <v>-244203065</v>
      </c>
      <c r="G10" s="2">
        <f>G8-G9</f>
        <v>-173363976</v>
      </c>
    </row>
    <row r="11" spans="1:7" ht="15" customHeight="1" x14ac:dyDescent="0.35">
      <c r="C11" s="2"/>
      <c r="D11" s="2"/>
      <c r="E11" s="2"/>
      <c r="F11" s="2"/>
      <c r="G11" s="2"/>
    </row>
    <row r="12" spans="1:7" ht="15" customHeight="1" x14ac:dyDescent="0.35">
      <c r="A12" s="15" t="s">
        <v>0</v>
      </c>
      <c r="B12" s="15" t="s">
        <v>1</v>
      </c>
      <c r="C12" s="15" t="s">
        <v>2</v>
      </c>
      <c r="D12" s="15" t="s">
        <v>3</v>
      </c>
      <c r="E12" s="15" t="s">
        <v>4</v>
      </c>
      <c r="F12" s="15" t="s">
        <v>5</v>
      </c>
      <c r="G12" s="15" t="s">
        <v>6</v>
      </c>
    </row>
    <row r="13" spans="1:7" x14ac:dyDescent="0.35">
      <c r="A13" t="s">
        <v>17</v>
      </c>
      <c r="B13" t="s">
        <v>18</v>
      </c>
      <c r="C13" s="2">
        <v>268402677</v>
      </c>
      <c r="D13" s="2">
        <v>270388194</v>
      </c>
      <c r="E13" s="2">
        <v>342508509</v>
      </c>
      <c r="F13" s="2">
        <v>457989110</v>
      </c>
      <c r="G13" s="2">
        <v>529197287</v>
      </c>
    </row>
    <row r="14" spans="1:7" ht="15" customHeight="1" x14ac:dyDescent="0.35">
      <c r="B14" t="s">
        <v>19</v>
      </c>
      <c r="C14" s="2">
        <v>115006207</v>
      </c>
      <c r="D14" s="2">
        <v>102209122</v>
      </c>
      <c r="E14" s="2">
        <v>126989356</v>
      </c>
      <c r="F14" s="2">
        <v>198057109</v>
      </c>
      <c r="G14" s="2">
        <v>245779512</v>
      </c>
    </row>
    <row r="15" spans="1:7" ht="15" customHeight="1" x14ac:dyDescent="0.35">
      <c r="B15" t="s">
        <v>20</v>
      </c>
      <c r="C15" s="2">
        <f>C13-C14</f>
        <v>153396470</v>
      </c>
      <c r="D15" s="2">
        <f>D13-D14</f>
        <v>168179072</v>
      </c>
      <c r="E15" s="2">
        <f>E13-E14</f>
        <v>215519153</v>
      </c>
      <c r="F15" s="2">
        <f>F13-F14</f>
        <v>259932001</v>
      </c>
      <c r="G15" s="2">
        <f>G13-G14</f>
        <v>283417775</v>
      </c>
    </row>
    <row r="16" spans="1:7" x14ac:dyDescent="0.35">
      <c r="B16" t="s">
        <v>21</v>
      </c>
      <c r="C16" s="2">
        <v>33840806</v>
      </c>
      <c r="D16" s="2">
        <v>45547903</v>
      </c>
      <c r="E16" s="2">
        <v>54400095</v>
      </c>
      <c r="F16" s="2">
        <v>70490000</v>
      </c>
      <c r="G16" s="2">
        <v>79440000</v>
      </c>
    </row>
    <row r="17" spans="1:7" x14ac:dyDescent="0.35">
      <c r="B17" t="s">
        <v>22</v>
      </c>
      <c r="C17" s="2">
        <v>20751085</v>
      </c>
      <c r="D17" s="2">
        <v>18051203</v>
      </c>
      <c r="E17" s="2">
        <v>16430414</v>
      </c>
      <c r="F17" s="2">
        <v>32240000</v>
      </c>
      <c r="G17" s="2">
        <v>70170000</v>
      </c>
    </row>
    <row r="18" spans="1:7" ht="15" customHeight="1" x14ac:dyDescent="0.35">
      <c r="B18" t="s">
        <v>23</v>
      </c>
      <c r="C18" s="2">
        <v>85841380</v>
      </c>
      <c r="D18" s="2">
        <v>111213885</v>
      </c>
      <c r="E18" s="2">
        <v>137869937</v>
      </c>
      <c r="F18" s="2">
        <v>166788460</v>
      </c>
      <c r="G18" s="2">
        <v>187764395</v>
      </c>
    </row>
    <row r="19" spans="1:7" ht="15" customHeight="1" x14ac:dyDescent="0.35">
      <c r="B19" t="s">
        <v>24</v>
      </c>
      <c r="C19" s="2">
        <f>C15+C17+C16-C18</f>
        <v>122146981</v>
      </c>
      <c r="D19" s="2">
        <f>D15+D17+D16-D18</f>
        <v>120564293</v>
      </c>
      <c r="E19" s="2">
        <f>E15+E17+E16-E18</f>
        <v>148479725</v>
      </c>
      <c r="F19" s="2">
        <f>F15+F17+F16-F18</f>
        <v>195873541</v>
      </c>
      <c r="G19" s="2">
        <f>G15+G17+G16-G18</f>
        <v>245263380</v>
      </c>
    </row>
    <row r="20" spans="1:7" ht="15" customHeight="1" x14ac:dyDescent="0.35">
      <c r="B20" t="s">
        <v>25</v>
      </c>
      <c r="C20" s="2">
        <v>52498615</v>
      </c>
      <c r="D20" s="2">
        <v>34781822</v>
      </c>
      <c r="E20" s="2">
        <v>39086774</v>
      </c>
      <c r="F20" s="2">
        <v>58058724</v>
      </c>
      <c r="G20" s="2">
        <v>80763945</v>
      </c>
    </row>
    <row r="21" spans="1:7" ht="15" customHeight="1" x14ac:dyDescent="0.35">
      <c r="B21" s="7" t="s">
        <v>26</v>
      </c>
      <c r="C21" s="9">
        <f>C19-C20</f>
        <v>69648366</v>
      </c>
      <c r="D21" s="9">
        <f>D19-D20</f>
        <v>85782471</v>
      </c>
      <c r="E21" s="9">
        <f>E19-E20</f>
        <v>109392951</v>
      </c>
      <c r="F21" s="9">
        <f>F19-F20</f>
        <v>137814817</v>
      </c>
      <c r="G21" s="9">
        <f>G19-G20</f>
        <v>164499435</v>
      </c>
    </row>
    <row r="22" spans="1:7" ht="15" customHeight="1" x14ac:dyDescent="0.35">
      <c r="B22" t="s">
        <v>27</v>
      </c>
      <c r="C22" s="2">
        <v>23381462</v>
      </c>
      <c r="D22" s="2">
        <v>27886189</v>
      </c>
      <c r="E22" s="2">
        <v>34516910</v>
      </c>
      <c r="F22" s="2">
        <v>42321343</v>
      </c>
      <c r="G22" s="2">
        <v>51340332</v>
      </c>
    </row>
    <row r="23" spans="1:7" ht="15" customHeight="1" x14ac:dyDescent="0.35">
      <c r="B23" s="7" t="s">
        <v>28</v>
      </c>
      <c r="C23" s="9">
        <v>99900000</v>
      </c>
      <c r="D23" s="9">
        <v>120890000</v>
      </c>
      <c r="E23" s="9">
        <v>149250000</v>
      </c>
      <c r="F23" s="9">
        <v>182130000</v>
      </c>
      <c r="G23" s="9">
        <v>221260000</v>
      </c>
    </row>
    <row r="24" spans="1:7" ht="15" customHeight="1" x14ac:dyDescent="0.35">
      <c r="B24" s="7"/>
      <c r="C24" s="9"/>
      <c r="D24" s="9"/>
      <c r="E24" s="9"/>
      <c r="F24" s="9"/>
      <c r="G24" s="9"/>
    </row>
    <row r="25" spans="1:7" x14ac:dyDescent="0.35">
      <c r="B25" t="s">
        <v>29</v>
      </c>
      <c r="C25">
        <v>50.5</v>
      </c>
      <c r="D25">
        <v>60.8</v>
      </c>
      <c r="E25">
        <v>75</v>
      </c>
      <c r="F25">
        <v>91.5</v>
      </c>
      <c r="G25">
        <v>111.3</v>
      </c>
    </row>
    <row r="26" spans="1:7" x14ac:dyDescent="0.35">
      <c r="B26" t="s">
        <v>237</v>
      </c>
      <c r="C26" s="2">
        <v>405000</v>
      </c>
      <c r="D26" s="2">
        <v>2183000</v>
      </c>
      <c r="E26" s="2">
        <v>2589206</v>
      </c>
      <c r="F26" s="2">
        <v>3366210</v>
      </c>
      <c r="G26" s="2">
        <v>3976240</v>
      </c>
    </row>
    <row r="27" spans="1:7" x14ac:dyDescent="0.35">
      <c r="B27" t="s">
        <v>30</v>
      </c>
      <c r="C27">
        <f>C26/C7*1000</f>
        <v>0.20435599507032387</v>
      </c>
      <c r="D27">
        <f>D26/D7*1000</f>
        <v>1.0999355376303517</v>
      </c>
      <c r="E27">
        <f>E26/E7*1000</f>
        <v>1.303948041592198</v>
      </c>
      <c r="F27">
        <f>F26/F7*1000</f>
        <v>1.6938388440509595</v>
      </c>
      <c r="G27">
        <f>G26/G7*1000</f>
        <v>2.0000232684838943</v>
      </c>
    </row>
    <row r="29" spans="1:7" x14ac:dyDescent="0.35">
      <c r="A29" s="15" t="s">
        <v>0</v>
      </c>
      <c r="B29" s="15" t="s">
        <v>1</v>
      </c>
      <c r="C29" s="15" t="s">
        <v>2</v>
      </c>
      <c r="D29" s="15" t="s">
        <v>3</v>
      </c>
      <c r="E29" s="15" t="s">
        <v>4</v>
      </c>
      <c r="F29" s="15" t="s">
        <v>5</v>
      </c>
      <c r="G29" s="15" t="s">
        <v>6</v>
      </c>
    </row>
    <row r="30" spans="1:7" x14ac:dyDescent="0.35">
      <c r="A30" t="s">
        <v>31</v>
      </c>
      <c r="B30" t="s">
        <v>32</v>
      </c>
      <c r="C30">
        <v>4.5</v>
      </c>
      <c r="D30" s="5">
        <v>4.7</v>
      </c>
      <c r="E30">
        <v>5.4</v>
      </c>
      <c r="F30">
        <v>5.3</v>
      </c>
      <c r="G30">
        <v>5</v>
      </c>
    </row>
    <row r="31" spans="1:7" x14ac:dyDescent="0.35">
      <c r="B31" t="s">
        <v>33</v>
      </c>
      <c r="C31">
        <v>41</v>
      </c>
      <c r="D31" s="5">
        <v>47</v>
      </c>
      <c r="E31">
        <v>48</v>
      </c>
      <c r="F31">
        <v>46</v>
      </c>
      <c r="G31">
        <v>43</v>
      </c>
    </row>
    <row r="32" spans="1:7" x14ac:dyDescent="0.35">
      <c r="B32" t="s">
        <v>34</v>
      </c>
      <c r="C32">
        <v>2.2000000000000002</v>
      </c>
      <c r="D32" s="5">
        <v>2.4</v>
      </c>
      <c r="E32">
        <v>2.6</v>
      </c>
      <c r="F32">
        <v>2.7</v>
      </c>
      <c r="G32">
        <v>2.7</v>
      </c>
    </row>
    <row r="33" spans="1:7" x14ac:dyDescent="0.35">
      <c r="B33" t="s">
        <v>35</v>
      </c>
      <c r="C33" s="3">
        <v>12.8</v>
      </c>
      <c r="D33" s="5">
        <v>13.4</v>
      </c>
      <c r="E33" s="3">
        <v>14.4</v>
      </c>
      <c r="F33" s="3">
        <v>15.1</v>
      </c>
      <c r="G33" s="3">
        <v>15.2</v>
      </c>
    </row>
    <row r="34" spans="1:7" x14ac:dyDescent="0.35">
      <c r="B34" t="s">
        <v>36</v>
      </c>
      <c r="C34">
        <v>23.4</v>
      </c>
      <c r="D34" s="5">
        <v>23.7</v>
      </c>
      <c r="E34">
        <v>23.3</v>
      </c>
      <c r="F34">
        <v>21.8</v>
      </c>
      <c r="G34">
        <v>23.3</v>
      </c>
    </row>
    <row r="35" spans="1:7" x14ac:dyDescent="0.35">
      <c r="B35" t="s">
        <v>37</v>
      </c>
      <c r="C35">
        <v>21.4</v>
      </c>
      <c r="D35" s="5">
        <v>17.600000000000001</v>
      </c>
      <c r="E35">
        <v>20.8</v>
      </c>
      <c r="F35">
        <v>19.2</v>
      </c>
      <c r="G35">
        <v>21.1</v>
      </c>
    </row>
    <row r="36" spans="1:7" x14ac:dyDescent="0.35">
      <c r="B36" t="s">
        <v>38</v>
      </c>
      <c r="C36">
        <v>3.2</v>
      </c>
      <c r="D36" s="5">
        <v>2.4</v>
      </c>
      <c r="E36">
        <v>2</v>
      </c>
      <c r="F36">
        <v>1.4</v>
      </c>
      <c r="G36">
        <v>1.5</v>
      </c>
    </row>
    <row r="37" spans="1:7" x14ac:dyDescent="0.35">
      <c r="B37" t="s">
        <v>39</v>
      </c>
      <c r="C37">
        <v>1.2</v>
      </c>
      <c r="D37" s="5">
        <v>0.7</v>
      </c>
      <c r="E37">
        <v>0.4</v>
      </c>
      <c r="F37">
        <v>0.4</v>
      </c>
      <c r="G37">
        <v>0.4</v>
      </c>
    </row>
    <row r="41" spans="1:7" x14ac:dyDescent="0.35">
      <c r="A41" s="7" t="s">
        <v>236</v>
      </c>
    </row>
    <row r="42" spans="1:7" x14ac:dyDescent="0.35">
      <c r="A42" s="8" t="s">
        <v>228</v>
      </c>
    </row>
    <row r="43" spans="1:7" x14ac:dyDescent="0.35">
      <c r="A43" s="8" t="s">
        <v>229</v>
      </c>
    </row>
    <row r="44" spans="1:7" x14ac:dyDescent="0.35">
      <c r="A44" s="8" t="s">
        <v>230</v>
      </c>
    </row>
    <row r="45" spans="1:7" x14ac:dyDescent="0.35">
      <c r="A45" s="8" t="s">
        <v>231</v>
      </c>
    </row>
    <row r="46" spans="1:7" x14ac:dyDescent="0.35">
      <c r="A46" s="8" t="s">
        <v>232</v>
      </c>
    </row>
    <row r="47" spans="1:7" x14ac:dyDescent="0.35">
      <c r="A47" s="8" t="s">
        <v>233</v>
      </c>
    </row>
    <row r="48" spans="1:7" x14ac:dyDescent="0.35">
      <c r="A48" s="8" t="s">
        <v>234</v>
      </c>
    </row>
    <row r="49" spans="1:1" x14ac:dyDescent="0.35">
      <c r="A49" s="8" t="s">
        <v>235</v>
      </c>
    </row>
    <row r="50" spans="1:1" x14ac:dyDescent="0.35">
      <c r="A50" s="8" t="s">
        <v>41</v>
      </c>
    </row>
    <row r="51" spans="1:1" x14ac:dyDescent="0.35">
      <c r="A51" s="8" t="s">
        <v>42</v>
      </c>
    </row>
    <row r="52" spans="1:1" x14ac:dyDescent="0.35">
      <c r="A52" s="8" t="s">
        <v>43</v>
      </c>
    </row>
    <row r="53" spans="1:1" x14ac:dyDescent="0.35">
      <c r="A53" s="8" t="s">
        <v>44</v>
      </c>
    </row>
    <row r="54" spans="1:1" x14ac:dyDescent="0.35">
      <c r="A54" s="8" t="s">
        <v>45</v>
      </c>
    </row>
    <row r="55" spans="1:1" x14ac:dyDescent="0.35">
      <c r="A55" s="8" t="s">
        <v>46</v>
      </c>
    </row>
    <row r="56" spans="1:1" x14ac:dyDescent="0.35">
      <c r="A56" s="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
  <sheetViews>
    <sheetView tabSelected="1" zoomScale="85" zoomScaleNormal="70" workbookViewId="0">
      <selection activeCell="B48" sqref="B48"/>
    </sheetView>
  </sheetViews>
  <sheetFormatPr defaultRowHeight="14.5" x14ac:dyDescent="0.35"/>
  <cols>
    <col min="1" max="1" width="58.54296875" style="23" customWidth="1"/>
    <col min="2" max="2" width="23.453125" style="23" bestFit="1" customWidth="1"/>
    <col min="3" max="3" width="20.7265625" style="23" bestFit="1" customWidth="1"/>
    <col min="4" max="4" width="21.26953125" style="23" bestFit="1" customWidth="1"/>
    <col min="5" max="10" width="19.90625" style="23" bestFit="1" customWidth="1"/>
    <col min="11" max="11" width="20.90625" style="23" bestFit="1" customWidth="1"/>
    <col min="12" max="16384" width="8.7265625" style="23"/>
  </cols>
  <sheetData>
    <row r="1" spans="1:11" ht="17" customHeight="1" x14ac:dyDescent="0.4">
      <c r="A1" s="22" t="s">
        <v>47</v>
      </c>
    </row>
    <row r="3" spans="1:11" x14ac:dyDescent="0.35">
      <c r="A3" s="24" t="s">
        <v>48</v>
      </c>
    </row>
    <row r="4" spans="1:11" x14ac:dyDescent="0.35">
      <c r="A4" s="17" t="s">
        <v>49</v>
      </c>
      <c r="B4" s="16" t="s">
        <v>251</v>
      </c>
      <c r="C4" s="16"/>
      <c r="D4" s="16"/>
      <c r="E4" s="16"/>
      <c r="F4" s="16"/>
      <c r="G4" s="16" t="s">
        <v>227</v>
      </c>
      <c r="H4" s="16"/>
      <c r="I4" s="16"/>
      <c r="J4" s="16"/>
      <c r="K4" s="16"/>
    </row>
    <row r="5" spans="1:11" x14ac:dyDescent="0.35">
      <c r="A5" s="17"/>
      <c r="B5" s="14" t="s">
        <v>241</v>
      </c>
      <c r="C5" s="14" t="s">
        <v>242</v>
      </c>
      <c r="D5" s="14" t="s">
        <v>243</v>
      </c>
      <c r="E5" s="14" t="s">
        <v>244</v>
      </c>
      <c r="F5" s="14" t="s">
        <v>245</v>
      </c>
      <c r="G5" s="14" t="s">
        <v>246</v>
      </c>
      <c r="H5" s="14" t="s">
        <v>247</v>
      </c>
      <c r="I5" s="14" t="s">
        <v>248</v>
      </c>
      <c r="J5" s="14" t="s">
        <v>249</v>
      </c>
      <c r="K5" s="14" t="s">
        <v>250</v>
      </c>
    </row>
    <row r="6" spans="1:11" x14ac:dyDescent="0.35">
      <c r="A6" s="25"/>
      <c r="F6" s="26"/>
      <c r="G6" s="27"/>
      <c r="H6" s="28"/>
      <c r="I6" s="28"/>
      <c r="J6" s="28"/>
      <c r="K6" s="25"/>
    </row>
    <row r="7" spans="1:11" x14ac:dyDescent="0.35">
      <c r="A7" s="26" t="s">
        <v>17</v>
      </c>
      <c r="F7" s="26"/>
      <c r="G7" s="29"/>
      <c r="K7" s="26"/>
    </row>
    <row r="8" spans="1:11" x14ac:dyDescent="0.35">
      <c r="A8" s="26" t="s">
        <v>51</v>
      </c>
      <c r="B8" s="30">
        <v>207988361</v>
      </c>
      <c r="C8" s="30">
        <v>231778178</v>
      </c>
      <c r="D8" s="30">
        <v>286349662</v>
      </c>
      <c r="E8" s="30">
        <v>362662001</v>
      </c>
      <c r="F8" s="31">
        <v>433027775</v>
      </c>
      <c r="G8" s="32">
        <v>510972774.5</v>
      </c>
      <c r="H8" s="30">
        <v>602947873.90999997</v>
      </c>
      <c r="I8" s="30">
        <v>711478491.21379995</v>
      </c>
      <c r="J8" s="30">
        <v>839544619.63228393</v>
      </c>
      <c r="K8" s="31">
        <v>990662651.16609502</v>
      </c>
    </row>
    <row r="9" spans="1:11" x14ac:dyDescent="0.35">
      <c r="A9" s="26" t="s">
        <v>52</v>
      </c>
      <c r="B9" s="30"/>
      <c r="C9" s="33">
        <f t="shared" ref="C9:K9" si="0">(C8-B8)/B8</f>
        <v>0.11438052055230148</v>
      </c>
      <c r="D9" s="33">
        <f t="shared" si="0"/>
        <v>0.2354470316010509</v>
      </c>
      <c r="E9" s="33">
        <f t="shared" si="0"/>
        <v>0.26650053807292429</v>
      </c>
      <c r="F9" s="34">
        <f t="shared" si="0"/>
        <v>0.19402577001719018</v>
      </c>
      <c r="G9" s="35">
        <f t="shared" si="0"/>
        <v>0.18</v>
      </c>
      <c r="H9" s="33">
        <f t="shared" si="0"/>
        <v>0.17999999999999994</v>
      </c>
      <c r="I9" s="33">
        <f t="shared" si="0"/>
        <v>0.18</v>
      </c>
      <c r="J9" s="33">
        <f t="shared" si="0"/>
        <v>0.17999999999999997</v>
      </c>
      <c r="K9" s="34">
        <f t="shared" si="0"/>
        <v>0.18</v>
      </c>
    </row>
    <row r="10" spans="1:11" x14ac:dyDescent="0.35">
      <c r="A10" s="26"/>
      <c r="B10" s="30"/>
      <c r="C10" s="30"/>
      <c r="D10" s="30"/>
      <c r="E10" s="30"/>
      <c r="F10" s="31"/>
      <c r="G10" s="32"/>
      <c r="H10" s="30"/>
      <c r="I10" s="30"/>
      <c r="J10" s="30"/>
      <c r="K10" s="31"/>
    </row>
    <row r="11" spans="1:11" x14ac:dyDescent="0.35">
      <c r="A11" s="26" t="s">
        <v>53</v>
      </c>
      <c r="B11" s="30"/>
      <c r="C11" s="30"/>
      <c r="D11" s="30"/>
      <c r="E11" s="30"/>
      <c r="F11" s="31"/>
      <c r="G11" s="32"/>
      <c r="H11" s="30"/>
      <c r="I11" s="30"/>
      <c r="J11" s="30"/>
      <c r="K11" s="31"/>
    </row>
    <row r="12" spans="1:11" x14ac:dyDescent="0.35">
      <c r="A12" s="26" t="s">
        <v>54</v>
      </c>
      <c r="B12" s="30">
        <v>85841380</v>
      </c>
      <c r="C12" s="30">
        <v>111213885</v>
      </c>
      <c r="D12" s="30">
        <v>137869937</v>
      </c>
      <c r="E12" s="30">
        <v>166788460</v>
      </c>
      <c r="F12" s="31">
        <v>187764395</v>
      </c>
      <c r="G12" s="32">
        <v>221561986.09999999</v>
      </c>
      <c r="H12" s="30">
        <v>256377145.08950001</v>
      </c>
      <c r="I12" s="30">
        <v>296547152.96557999</v>
      </c>
      <c r="J12" s="30">
        <v>342871744.17614901</v>
      </c>
      <c r="K12" s="31">
        <v>396265060.46643811</v>
      </c>
    </row>
    <row r="13" spans="1:11" x14ac:dyDescent="0.35">
      <c r="A13" s="26" t="s">
        <v>55</v>
      </c>
      <c r="B13" s="30">
        <f t="shared" ref="B13:K13" si="1">B8-B12</f>
        <v>122146981</v>
      </c>
      <c r="C13" s="30">
        <f t="shared" si="1"/>
        <v>120564293</v>
      </c>
      <c r="D13" s="30">
        <f t="shared" si="1"/>
        <v>148479725</v>
      </c>
      <c r="E13" s="30">
        <f t="shared" si="1"/>
        <v>195873541</v>
      </c>
      <c r="F13" s="31">
        <f t="shared" si="1"/>
        <v>245263380</v>
      </c>
      <c r="G13" s="32">
        <f t="shared" si="1"/>
        <v>289410788.39999998</v>
      </c>
      <c r="H13" s="30">
        <f t="shared" si="1"/>
        <v>346570728.82049996</v>
      </c>
      <c r="I13" s="30">
        <f t="shared" si="1"/>
        <v>414931338.24821997</v>
      </c>
      <c r="J13" s="30">
        <f t="shared" si="1"/>
        <v>496672875.45613492</v>
      </c>
      <c r="K13" s="31">
        <f t="shared" si="1"/>
        <v>594397590.69965696</v>
      </c>
    </row>
    <row r="14" spans="1:11" x14ac:dyDescent="0.35">
      <c r="A14" s="26" t="s">
        <v>56</v>
      </c>
      <c r="B14" s="30"/>
      <c r="C14" s="33">
        <f t="shared" ref="C14:K14" si="2">(C13-B13)/B13</f>
        <v>-1.2957242062331446E-2</v>
      </c>
      <c r="D14" s="33">
        <f t="shared" si="2"/>
        <v>0.23153979760823545</v>
      </c>
      <c r="E14" s="33">
        <f t="shared" si="2"/>
        <v>0.31919385626556085</v>
      </c>
      <c r="F14" s="34">
        <f t="shared" si="2"/>
        <v>0.25215166248513371</v>
      </c>
      <c r="G14" s="35">
        <f t="shared" si="2"/>
        <v>0.17999999999999991</v>
      </c>
      <c r="H14" s="33">
        <f t="shared" si="2"/>
        <v>0.19750452544118077</v>
      </c>
      <c r="I14" s="33">
        <f t="shared" si="2"/>
        <v>0.19724865299609926</v>
      </c>
      <c r="J14" s="33">
        <f t="shared" si="2"/>
        <v>0.19700015321333858</v>
      </c>
      <c r="K14" s="34">
        <f t="shared" si="2"/>
        <v>0.19675871196665115</v>
      </c>
    </row>
    <row r="15" spans="1:11" x14ac:dyDescent="0.35">
      <c r="A15" s="26"/>
      <c r="B15" s="30"/>
      <c r="C15" s="30"/>
      <c r="D15" s="30"/>
      <c r="E15" s="30"/>
      <c r="F15" s="31"/>
      <c r="G15" s="32"/>
      <c r="H15" s="30"/>
      <c r="I15" s="30"/>
      <c r="J15" s="30"/>
      <c r="K15" s="31"/>
    </row>
    <row r="16" spans="1:11" x14ac:dyDescent="0.35">
      <c r="A16" s="26" t="s">
        <v>57</v>
      </c>
      <c r="B16" s="30"/>
      <c r="C16" s="30"/>
      <c r="D16" s="30"/>
      <c r="E16" s="30"/>
      <c r="F16" s="31"/>
      <c r="G16" s="32"/>
      <c r="H16" s="30"/>
      <c r="I16" s="30"/>
      <c r="J16" s="30"/>
      <c r="K16" s="31"/>
    </row>
    <row r="17" spans="1:11" x14ac:dyDescent="0.35">
      <c r="A17" s="36" t="s">
        <v>25</v>
      </c>
      <c r="B17" s="37">
        <v>52498615</v>
      </c>
      <c r="C17" s="37">
        <v>34781822</v>
      </c>
      <c r="D17" s="37">
        <v>39086774</v>
      </c>
      <c r="E17" s="37">
        <v>58058724</v>
      </c>
      <c r="F17" s="38">
        <v>80763945</v>
      </c>
      <c r="G17" s="39">
        <v>91975099.409999996</v>
      </c>
      <c r="H17" s="37">
        <v>108530617.3038</v>
      </c>
      <c r="I17" s="37">
        <v>128066128.418484</v>
      </c>
      <c r="J17" s="37">
        <v>151118031.53381109</v>
      </c>
      <c r="K17" s="38">
        <v>178319277.2098971</v>
      </c>
    </row>
    <row r="18" spans="1:11" x14ac:dyDescent="0.35">
      <c r="A18" s="40" t="s">
        <v>26</v>
      </c>
      <c r="B18" s="41">
        <f t="shared" ref="B18:K18" si="3">B8-B12-B17</f>
        <v>69648366</v>
      </c>
      <c r="C18" s="41">
        <f t="shared" si="3"/>
        <v>85782471</v>
      </c>
      <c r="D18" s="41">
        <f t="shared" si="3"/>
        <v>109392951</v>
      </c>
      <c r="E18" s="41">
        <f t="shared" si="3"/>
        <v>137814817</v>
      </c>
      <c r="F18" s="42">
        <f t="shared" si="3"/>
        <v>164499435</v>
      </c>
      <c r="G18" s="43">
        <f t="shared" si="3"/>
        <v>197435688.98999998</v>
      </c>
      <c r="H18" s="41">
        <f t="shared" si="3"/>
        <v>238040111.51669997</v>
      </c>
      <c r="I18" s="41">
        <f t="shared" si="3"/>
        <v>286865209.82973599</v>
      </c>
      <c r="J18" s="41">
        <f t="shared" si="3"/>
        <v>345554843.92232382</v>
      </c>
      <c r="K18" s="42">
        <f t="shared" si="3"/>
        <v>416078313.48975986</v>
      </c>
    </row>
    <row r="19" spans="1:11" x14ac:dyDescent="0.35">
      <c r="A19" s="26" t="s">
        <v>58</v>
      </c>
      <c r="B19" s="30">
        <v>23381462</v>
      </c>
      <c r="C19" s="30">
        <v>27886189</v>
      </c>
      <c r="D19" s="30">
        <v>34516910</v>
      </c>
      <c r="E19" s="30">
        <v>42321343</v>
      </c>
      <c r="F19" s="31">
        <v>51340332</v>
      </c>
      <c r="G19" s="32">
        <f>G18*0.31</f>
        <v>61205063.586899996</v>
      </c>
      <c r="H19" s="30">
        <f>H18*0.31</f>
        <v>73792434.570176989</v>
      </c>
      <c r="I19" s="30">
        <f>I18*0.31</f>
        <v>88928215.047218159</v>
      </c>
      <c r="J19" s="30">
        <f>J18*0.31</f>
        <v>107122001.61592038</v>
      </c>
      <c r="K19" s="31">
        <f>K18*0.31</f>
        <v>128984277.18182556</v>
      </c>
    </row>
    <row r="20" spans="1:11" x14ac:dyDescent="0.35">
      <c r="A20" s="40" t="s">
        <v>59</v>
      </c>
      <c r="B20" s="41">
        <v>46266904</v>
      </c>
      <c r="C20" s="41">
        <v>57896282</v>
      </c>
      <c r="D20" s="41">
        <v>74876041</v>
      </c>
      <c r="E20" s="41">
        <v>95493474</v>
      </c>
      <c r="F20" s="42">
        <v>113159103</v>
      </c>
      <c r="G20" s="43">
        <f>G18-G19</f>
        <v>136230625.40309998</v>
      </c>
      <c r="H20" s="41">
        <f>H18-H19</f>
        <v>164247676.94652298</v>
      </c>
      <c r="I20" s="41">
        <f>I18-I19</f>
        <v>197936994.78251785</v>
      </c>
      <c r="J20" s="41">
        <f>J18-J19</f>
        <v>238432842.30640346</v>
      </c>
      <c r="K20" s="42">
        <f>K18-K19</f>
        <v>287094036.30793428</v>
      </c>
    </row>
    <row r="21" spans="1:11" x14ac:dyDescent="0.35">
      <c r="A21" s="36" t="s">
        <v>226</v>
      </c>
      <c r="B21" s="37">
        <f>B17</f>
        <v>52498615</v>
      </c>
      <c r="C21" s="37">
        <f t="shared" ref="C21:K21" si="4">C17</f>
        <v>34781822</v>
      </c>
      <c r="D21" s="37">
        <f t="shared" si="4"/>
        <v>39086774</v>
      </c>
      <c r="E21" s="37">
        <f t="shared" si="4"/>
        <v>58058724</v>
      </c>
      <c r="F21" s="38">
        <f t="shared" si="4"/>
        <v>80763945</v>
      </c>
      <c r="G21" s="39">
        <f t="shared" si="4"/>
        <v>91975099.409999996</v>
      </c>
      <c r="H21" s="37">
        <f t="shared" si="4"/>
        <v>108530617.3038</v>
      </c>
      <c r="I21" s="37">
        <f t="shared" si="4"/>
        <v>128066128.418484</v>
      </c>
      <c r="J21" s="37">
        <f t="shared" si="4"/>
        <v>151118031.53381109</v>
      </c>
      <c r="K21" s="38">
        <f t="shared" si="4"/>
        <v>178319277.2098971</v>
      </c>
    </row>
    <row r="22" spans="1:11" x14ac:dyDescent="0.35">
      <c r="A22" s="44" t="s">
        <v>60</v>
      </c>
      <c r="B22" s="45">
        <f>SUM(B20:B21)</f>
        <v>98765519</v>
      </c>
      <c r="C22" s="45">
        <f t="shared" ref="C22:K22" si="5">SUM(C20:C21)</f>
        <v>92678104</v>
      </c>
      <c r="D22" s="45">
        <f t="shared" si="5"/>
        <v>113962815</v>
      </c>
      <c r="E22" s="45">
        <f t="shared" si="5"/>
        <v>153552198</v>
      </c>
      <c r="F22" s="46">
        <f t="shared" si="5"/>
        <v>193923048</v>
      </c>
      <c r="G22" s="45">
        <f t="shared" si="5"/>
        <v>228205724.81309998</v>
      </c>
      <c r="H22" s="45">
        <f t="shared" si="5"/>
        <v>272778294.250323</v>
      </c>
      <c r="I22" s="45">
        <f t="shared" si="5"/>
        <v>326003123.20100188</v>
      </c>
      <c r="J22" s="45">
        <f t="shared" si="5"/>
        <v>389550873.84021455</v>
      </c>
      <c r="K22" s="46">
        <f t="shared" si="5"/>
        <v>465413313.51783139</v>
      </c>
    </row>
    <row r="23" spans="1:11" x14ac:dyDescent="0.35">
      <c r="B23" s="47"/>
      <c r="C23" s="47"/>
      <c r="D23" s="47"/>
      <c r="E23" s="47"/>
      <c r="F23" s="30"/>
      <c r="G23" s="30"/>
      <c r="H23" s="30"/>
      <c r="I23" s="30"/>
      <c r="J23" s="30"/>
      <c r="K23" s="30"/>
    </row>
    <row r="24" spans="1:11" x14ac:dyDescent="0.35">
      <c r="A24" s="48" t="s">
        <v>61</v>
      </c>
      <c r="B24" s="49">
        <f>WACC!B18</f>
        <v>0.10750000000000001</v>
      </c>
      <c r="C24" s="47"/>
      <c r="D24" s="47"/>
      <c r="E24" s="47"/>
      <c r="F24" s="30"/>
      <c r="G24" s="30"/>
      <c r="H24" s="30"/>
      <c r="I24" s="30"/>
      <c r="J24" s="30"/>
      <c r="K24" s="30"/>
    </row>
    <row r="25" spans="1:11" x14ac:dyDescent="0.35">
      <c r="A25" s="50" t="s">
        <v>62</v>
      </c>
      <c r="B25" s="51">
        <v>0.05</v>
      </c>
      <c r="C25" s="47"/>
      <c r="D25" s="47"/>
      <c r="E25" s="47"/>
      <c r="F25" s="30"/>
      <c r="G25" s="30"/>
      <c r="H25" s="30"/>
      <c r="I25" s="30"/>
      <c r="J25" s="30"/>
      <c r="K25" s="30"/>
    </row>
    <row r="26" spans="1:11" x14ac:dyDescent="0.35">
      <c r="A26" s="52" t="s">
        <v>63</v>
      </c>
      <c r="B26" s="53"/>
      <c r="C26" s="54"/>
      <c r="D26" s="54"/>
      <c r="E26" s="54"/>
      <c r="F26" s="55"/>
      <c r="G26" s="55">
        <f>G22/(1+B24)^1</f>
        <v>206054830.53101578</v>
      </c>
      <c r="H26" s="55">
        <f>H22/(1+B24)^2</f>
        <v>222393627.89136091</v>
      </c>
      <c r="I26" s="55">
        <f>I22/(1+B24)^3</f>
        <v>239988568.96148351</v>
      </c>
      <c r="J26" s="55">
        <f>J22/(1+B24)^4</f>
        <v>258934097.16733208</v>
      </c>
      <c r="K26" s="55">
        <f>K22/(1+B24)^5</f>
        <v>279331637.9450891</v>
      </c>
    </row>
    <row r="27" spans="1:11" x14ac:dyDescent="0.35">
      <c r="A27" s="50" t="s">
        <v>64</v>
      </c>
      <c r="B27" s="31">
        <f>(K22*(1+$B$25)/($B$24-$B$25))/(1+$B$24)^5</f>
        <v>5100838605.9538002</v>
      </c>
      <c r="C27" s="47"/>
      <c r="D27" s="47"/>
      <c r="E27" s="47"/>
      <c r="F27" s="30"/>
      <c r="G27" s="30"/>
      <c r="H27" s="30"/>
      <c r="I27" s="30"/>
      <c r="J27" s="30"/>
      <c r="K27" s="30"/>
    </row>
    <row r="28" spans="1:11" x14ac:dyDescent="0.35">
      <c r="A28" s="50" t="s">
        <v>65</v>
      </c>
      <c r="B28" s="31">
        <f>SUM(G26:K26)</f>
        <v>1206702762.4962814</v>
      </c>
      <c r="C28" s="47"/>
      <c r="D28" s="47"/>
      <c r="E28" s="47"/>
      <c r="F28" s="30"/>
      <c r="G28" s="30"/>
      <c r="H28" s="30"/>
      <c r="I28" s="30"/>
      <c r="J28" s="30"/>
      <c r="K28" s="30"/>
    </row>
    <row r="29" spans="1:11" ht="15" thickBot="1" x14ac:dyDescent="0.4">
      <c r="A29" s="56" t="s">
        <v>225</v>
      </c>
      <c r="B29" s="57">
        <f>B28+B27</f>
        <v>6307541368.4500818</v>
      </c>
      <c r="C29" s="47"/>
      <c r="D29" s="47"/>
      <c r="E29" s="47"/>
      <c r="F29" s="30"/>
      <c r="G29" s="30"/>
      <c r="H29" s="30"/>
      <c r="I29" s="30"/>
      <c r="J29" s="30"/>
      <c r="K29" s="30"/>
    </row>
    <row r="30" spans="1:11" ht="15" thickTop="1" x14ac:dyDescent="0.35">
      <c r="A30" s="24"/>
      <c r="B30" s="54"/>
      <c r="C30" s="47"/>
      <c r="D30" s="47"/>
      <c r="E30" s="47"/>
      <c r="F30" s="47"/>
      <c r="G30" s="47"/>
      <c r="H30" s="47"/>
      <c r="I30" s="47"/>
      <c r="J30" s="47"/>
      <c r="K30" s="47"/>
    </row>
    <row r="31" spans="1:11" x14ac:dyDescent="0.35">
      <c r="A31" s="58" t="s">
        <v>67</v>
      </c>
      <c r="B31" s="59">
        <f>B29*1000/F39</f>
        <v>3172.6529343864827</v>
      </c>
      <c r="C31" s="47"/>
      <c r="D31" s="47"/>
      <c r="E31" s="47"/>
      <c r="F31" s="47"/>
      <c r="G31" s="47"/>
      <c r="H31" s="47"/>
      <c r="I31" s="47"/>
      <c r="J31" s="47"/>
      <c r="K31" s="47"/>
    </row>
    <row r="32" spans="1:11" x14ac:dyDescent="0.35">
      <c r="A32" s="24"/>
      <c r="B32" s="54"/>
      <c r="C32" s="47"/>
      <c r="D32" s="47"/>
      <c r="E32" s="47"/>
      <c r="F32" s="47"/>
      <c r="G32" s="47"/>
      <c r="H32" s="47"/>
      <c r="I32" s="47"/>
      <c r="J32" s="47"/>
      <c r="K32" s="47"/>
    </row>
    <row r="33" spans="1:11" x14ac:dyDescent="0.35">
      <c r="A33" s="60" t="s">
        <v>66</v>
      </c>
      <c r="B33" s="47"/>
      <c r="C33" s="47"/>
      <c r="D33" s="47"/>
      <c r="E33" s="47"/>
      <c r="F33" s="47"/>
      <c r="G33" s="47"/>
      <c r="H33" s="47"/>
      <c r="I33" s="47"/>
      <c r="J33" s="47"/>
      <c r="K33" s="47"/>
    </row>
    <row r="34" spans="1:11" x14ac:dyDescent="0.35">
      <c r="C34" s="47"/>
      <c r="D34" s="47"/>
      <c r="E34" s="47"/>
      <c r="F34" s="47"/>
      <c r="G34" s="47"/>
      <c r="H34" s="47"/>
      <c r="I34" s="47"/>
      <c r="J34" s="47"/>
      <c r="K34" s="47"/>
    </row>
    <row r="35" spans="1:11" x14ac:dyDescent="0.35">
      <c r="A35" s="23" t="s">
        <v>11</v>
      </c>
      <c r="B35" s="47">
        <v>1050991877</v>
      </c>
      <c r="C35" s="47">
        <v>1005802168</v>
      </c>
      <c r="D35" s="47">
        <v>1214037287</v>
      </c>
      <c r="E35" s="47">
        <v>1554037587</v>
      </c>
      <c r="F35" s="47">
        <v>1819074474</v>
      </c>
      <c r="G35" s="47">
        <v>2091935645.0999999</v>
      </c>
      <c r="H35" s="47">
        <v>2405725991.8649998</v>
      </c>
      <c r="I35" s="47">
        <v>2766584890.6447501</v>
      </c>
      <c r="J35" s="47">
        <v>3181572624.2414622</v>
      </c>
      <c r="K35" s="47">
        <v>3658808517.8776808</v>
      </c>
    </row>
    <row r="36" spans="1:11" x14ac:dyDescent="0.35">
      <c r="A36" s="23" t="s">
        <v>8</v>
      </c>
      <c r="B36" s="47">
        <v>2801000452</v>
      </c>
      <c r="C36" s="47">
        <v>3116841134</v>
      </c>
      <c r="D36" s="47">
        <v>3630960526</v>
      </c>
      <c r="E36" s="47">
        <v>4489537451</v>
      </c>
      <c r="F36" s="47">
        <v>4990551352</v>
      </c>
      <c r="G36" s="47">
        <v>5789039568.3199997</v>
      </c>
      <c r="H36" s="47">
        <v>6715285899.2511988</v>
      </c>
      <c r="I36" s="47">
        <v>7789731643.1313896</v>
      </c>
      <c r="J36" s="47">
        <v>9036088706.0324116</v>
      </c>
      <c r="K36" s="47">
        <v>10481862898.997601</v>
      </c>
    </row>
    <row r="37" spans="1:11" x14ac:dyDescent="0.35">
      <c r="A37" s="23" t="s">
        <v>9</v>
      </c>
      <c r="B37" s="47">
        <v>2236886221</v>
      </c>
      <c r="C37" s="47">
        <v>2712536018</v>
      </c>
      <c r="D37" s="47">
        <v>3198612074</v>
      </c>
      <c r="E37" s="47">
        <v>3760752659</v>
      </c>
      <c r="F37" s="47">
        <v>4269092008</v>
      </c>
      <c r="G37" s="47">
        <v>4994837649.3599997</v>
      </c>
      <c r="H37" s="47">
        <v>5843960049.7511988</v>
      </c>
      <c r="I37" s="47">
        <v>6837433258.2089024</v>
      </c>
      <c r="J37" s="47">
        <v>7999796912.1044149</v>
      </c>
      <c r="K37" s="47">
        <v>9359762387.1621647</v>
      </c>
    </row>
    <row r="38" spans="1:11" x14ac:dyDescent="0.35">
      <c r="A38" s="23" t="s">
        <v>12</v>
      </c>
      <c r="B38" s="47">
        <f>Historical_FS!C6</f>
        <v>844261995</v>
      </c>
      <c r="C38" s="47">
        <f>Historical_FS!D6</f>
        <v>966530277</v>
      </c>
      <c r="D38" s="47">
        <f>Historical_FS!E6</f>
        <v>1117930264</v>
      </c>
      <c r="E38" s="47">
        <f>Historical_FS!F6</f>
        <v>1297723888</v>
      </c>
      <c r="F38" s="47">
        <f>Historical_FS!G6</f>
        <v>1574572721</v>
      </c>
      <c r="G38" s="47">
        <f>F38</f>
        <v>1574572721</v>
      </c>
      <c r="H38" s="47">
        <f>F38</f>
        <v>1574572721</v>
      </c>
      <c r="I38" s="47">
        <f>F38</f>
        <v>1574572721</v>
      </c>
      <c r="J38" s="47">
        <f>F38</f>
        <v>1574572721</v>
      </c>
      <c r="K38" s="47">
        <f>F38</f>
        <v>1574572721</v>
      </c>
    </row>
    <row r="39" spans="1:11" x14ac:dyDescent="0.35">
      <c r="A39" s="23" t="s">
        <v>68</v>
      </c>
      <c r="B39" s="47">
        <f>Historical_FS!C7</f>
        <v>1981835668</v>
      </c>
      <c r="C39" s="47">
        <f>Historical_FS!D7</f>
        <v>1984661760</v>
      </c>
      <c r="D39" s="47">
        <f>Historical_FS!E7</f>
        <v>1985666543</v>
      </c>
      <c r="E39" s="47">
        <f>Historical_FS!F7</f>
        <v>1987326015</v>
      </c>
      <c r="F39" s="47">
        <f>Historical_FS!G7</f>
        <v>1988096870</v>
      </c>
      <c r="G39" s="47">
        <f>F39</f>
        <v>1988096870</v>
      </c>
      <c r="H39" s="47">
        <f>F39</f>
        <v>1988096870</v>
      </c>
      <c r="I39" s="47">
        <f>F39</f>
        <v>1988096870</v>
      </c>
      <c r="J39" s="47">
        <f>F39</f>
        <v>1988096870</v>
      </c>
      <c r="K39" s="47">
        <f>F39</f>
        <v>1988096870</v>
      </c>
    </row>
    <row r="40" spans="1:11" x14ac:dyDescent="0.35">
      <c r="A40" s="23" t="s">
        <v>69</v>
      </c>
      <c r="B40" s="61">
        <f>B20/B38</f>
        <v>5.4801595090159187E-2</v>
      </c>
      <c r="C40" s="61">
        <f t="shared" ref="C40:K40" si="6">C20/C38</f>
        <v>5.9901157136746375E-2</v>
      </c>
      <c r="D40" s="61">
        <f t="shared" si="6"/>
        <v>6.6977380800203476E-2</v>
      </c>
      <c r="E40" s="61">
        <f t="shared" si="6"/>
        <v>7.3585355777931086E-2</v>
      </c>
      <c r="F40" s="61">
        <f t="shared" si="6"/>
        <v>7.1866546073612564E-2</v>
      </c>
      <c r="G40" s="61">
        <f t="shared" si="6"/>
        <v>8.6519106793988457E-2</v>
      </c>
      <c r="H40" s="61">
        <f t="shared" si="6"/>
        <v>0.10431253809745315</v>
      </c>
      <c r="I40" s="61">
        <f t="shared" si="6"/>
        <v>0.12570838561003994</v>
      </c>
      <c r="J40" s="61">
        <f t="shared" si="6"/>
        <v>0.15142701199280045</v>
      </c>
      <c r="K40" s="61">
        <f t="shared" si="6"/>
        <v>0.18233139217958946</v>
      </c>
    </row>
    <row r="41" spans="1:11" x14ac:dyDescent="0.35">
      <c r="A41" s="23" t="s">
        <v>70</v>
      </c>
      <c r="B41" s="61">
        <f t="shared" ref="B41:K41" si="7">B20/B35</f>
        <v>4.4022132818063636E-2</v>
      </c>
      <c r="C41" s="61">
        <f t="shared" si="7"/>
        <v>5.7562295888787543E-2</v>
      </c>
      <c r="D41" s="61">
        <f t="shared" si="7"/>
        <v>6.1675239963202219E-2</v>
      </c>
      <c r="E41" s="61">
        <f t="shared" si="7"/>
        <v>6.1448625695306298E-2</v>
      </c>
      <c r="F41" s="61">
        <f t="shared" si="7"/>
        <v>6.2206965474685676E-2</v>
      </c>
      <c r="G41" s="61">
        <f t="shared" si="7"/>
        <v>6.5121805119673179E-2</v>
      </c>
      <c r="H41" s="61">
        <f t="shared" si="7"/>
        <v>6.8273642759786063E-2</v>
      </c>
      <c r="I41" s="61">
        <f t="shared" si="7"/>
        <v>7.1545606806371592E-2</v>
      </c>
      <c r="J41" s="61">
        <f t="shared" si="7"/>
        <v>7.4941819806250587E-2</v>
      </c>
      <c r="K41" s="61">
        <f t="shared" si="7"/>
        <v>7.8466537646103798E-2</v>
      </c>
    </row>
  </sheetData>
  <mergeCells count="3">
    <mergeCell ref="B4:F4"/>
    <mergeCell ref="G4:K4"/>
    <mergeCell ref="A4:A5"/>
  </mergeCells>
  <pageMargins left="0.75" right="0.75" top="1" bottom="1"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zoomScale="58" workbookViewId="0">
      <selection activeCell="C34" sqref="C34"/>
    </sheetView>
  </sheetViews>
  <sheetFormatPr defaultRowHeight="14.5" x14ac:dyDescent="0.35"/>
  <cols>
    <col min="1" max="1" width="81.08984375" style="23" bestFit="1" customWidth="1"/>
    <col min="2" max="2" width="8.7265625" style="23"/>
    <col min="3" max="3" width="89.26953125" style="23" bestFit="1" customWidth="1"/>
    <col min="4" max="16384" width="8.7265625" style="23"/>
  </cols>
  <sheetData>
    <row r="1" spans="1:3" ht="17" customHeight="1" x14ac:dyDescent="0.4">
      <c r="A1" s="22" t="s">
        <v>73</v>
      </c>
    </row>
    <row r="3" spans="1:3" x14ac:dyDescent="0.35">
      <c r="A3" s="23" t="s">
        <v>74</v>
      </c>
    </row>
    <row r="5" spans="1:3" x14ac:dyDescent="0.35">
      <c r="A5" s="62" t="s">
        <v>75</v>
      </c>
      <c r="B5" s="62" t="s">
        <v>76</v>
      </c>
      <c r="C5" s="62" t="s">
        <v>77</v>
      </c>
    </row>
    <row r="6" spans="1:3" x14ac:dyDescent="0.35">
      <c r="A6" s="23" t="s">
        <v>78</v>
      </c>
      <c r="B6" s="63">
        <v>6.5500000000000003E-2</v>
      </c>
      <c r="C6" s="23" t="s">
        <v>79</v>
      </c>
    </row>
    <row r="7" spans="1:3" x14ac:dyDescent="0.35">
      <c r="A7" s="23" t="s">
        <v>80</v>
      </c>
      <c r="B7" s="63">
        <v>7.0000000000000007E-2</v>
      </c>
      <c r="C7" s="23" t="s">
        <v>81</v>
      </c>
    </row>
    <row r="9" spans="1:3" x14ac:dyDescent="0.35">
      <c r="A9" s="23" t="s">
        <v>82</v>
      </c>
    </row>
    <row r="10" spans="1:3" x14ac:dyDescent="0.35">
      <c r="A10" s="62" t="s">
        <v>83</v>
      </c>
      <c r="B10" s="62" t="s">
        <v>84</v>
      </c>
      <c r="C10" s="62" t="s">
        <v>252</v>
      </c>
    </row>
    <row r="11" spans="1:3" x14ac:dyDescent="0.35">
      <c r="A11" s="23" t="s">
        <v>85</v>
      </c>
      <c r="B11" s="23">
        <v>0.19</v>
      </c>
      <c r="C11" s="23" t="s">
        <v>86</v>
      </c>
    </row>
    <row r="12" spans="1:3" x14ac:dyDescent="0.35">
      <c r="A12" s="23" t="s">
        <v>87</v>
      </c>
      <c r="B12" s="23">
        <v>1</v>
      </c>
      <c r="C12" s="23" t="s">
        <v>88</v>
      </c>
    </row>
    <row r="13" spans="1:3" x14ac:dyDescent="0.35">
      <c r="A13" s="23" t="s">
        <v>89</v>
      </c>
      <c r="B13" s="23">
        <f>AVERAGE(B11:B12)</f>
        <v>0.59499999999999997</v>
      </c>
      <c r="C13" s="23" t="s">
        <v>90</v>
      </c>
    </row>
    <row r="14" spans="1:3" x14ac:dyDescent="0.35">
      <c r="A14" s="23" t="s">
        <v>91</v>
      </c>
      <c r="B14" s="64">
        <v>0.6</v>
      </c>
      <c r="C14" s="23" t="s">
        <v>92</v>
      </c>
    </row>
    <row r="16" spans="1:3" x14ac:dyDescent="0.35">
      <c r="A16" s="65" t="s">
        <v>93</v>
      </c>
    </row>
    <row r="17" spans="1:3" x14ac:dyDescent="0.35">
      <c r="A17" s="23" t="s">
        <v>94</v>
      </c>
      <c r="B17" s="23" t="s">
        <v>95</v>
      </c>
    </row>
    <row r="18" spans="1:3" x14ac:dyDescent="0.35">
      <c r="A18" s="23" t="s">
        <v>96</v>
      </c>
      <c r="B18" s="63">
        <f>B6 + B14*B7</f>
        <v>0.10750000000000001</v>
      </c>
      <c r="C18" s="23" t="s">
        <v>97</v>
      </c>
    </row>
    <row r="22" spans="1:3" x14ac:dyDescent="0.35">
      <c r="A22" s="23" t="s">
        <v>99</v>
      </c>
    </row>
    <row r="23" spans="1:3" x14ac:dyDescent="0.35">
      <c r="A23" s="62" t="s">
        <v>84</v>
      </c>
      <c r="B23" s="62" t="s">
        <v>100</v>
      </c>
    </row>
    <row r="24" spans="1:3" x14ac:dyDescent="0.35">
      <c r="A24" s="64">
        <v>0.5</v>
      </c>
      <c r="B24" s="63">
        <f>$B$6 + A24*$B$7</f>
        <v>0.10050000000000001</v>
      </c>
    </row>
    <row r="25" spans="1:3" x14ac:dyDescent="0.35">
      <c r="A25" s="64">
        <v>0.6</v>
      </c>
      <c r="B25" s="63">
        <f>$B$6 + A25*$B$7</f>
        <v>0.10750000000000001</v>
      </c>
    </row>
    <row r="26" spans="1:3" x14ac:dyDescent="0.35">
      <c r="A26" s="64">
        <v>0.8</v>
      </c>
      <c r="B26" s="63">
        <f>$B$6 + A26*$B$7</f>
        <v>0.12150000000000001</v>
      </c>
    </row>
    <row r="28" spans="1:3" x14ac:dyDescent="0.35">
      <c r="A28" s="23" t="s">
        <v>40</v>
      </c>
    </row>
    <row r="29" spans="1:3" x14ac:dyDescent="0.35">
      <c r="A29" s="23" t="s">
        <v>253</v>
      </c>
    </row>
    <row r="30" spans="1:3" x14ac:dyDescent="0.35">
      <c r="A30" s="23" t="s">
        <v>254</v>
      </c>
    </row>
    <row r="31" spans="1:3" x14ac:dyDescent="0.35">
      <c r="A31" s="23" t="s">
        <v>98</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1"/>
  <sheetViews>
    <sheetView zoomScale="53" workbookViewId="0">
      <selection activeCell="C5" sqref="C5"/>
    </sheetView>
  </sheetViews>
  <sheetFormatPr defaultRowHeight="14.5" x14ac:dyDescent="0.35"/>
  <cols>
    <col min="1" max="1" width="65" style="23" customWidth="1"/>
    <col min="2" max="2" width="31.1796875" style="23" customWidth="1"/>
    <col min="3" max="3" width="135.26953125" style="23" bestFit="1" customWidth="1"/>
    <col min="4" max="4" width="2" style="23" customWidth="1"/>
    <col min="5" max="16384" width="8.7265625" style="23"/>
  </cols>
  <sheetData>
    <row r="1" spans="1:3" ht="17" customHeight="1" x14ac:dyDescent="0.4">
      <c r="A1" s="22" t="s">
        <v>101</v>
      </c>
    </row>
    <row r="3" spans="1:3" x14ac:dyDescent="0.35">
      <c r="A3" s="65" t="s">
        <v>102</v>
      </c>
    </row>
    <row r="5" spans="1:3" x14ac:dyDescent="0.35">
      <c r="A5" s="62" t="s">
        <v>103</v>
      </c>
      <c r="B5" s="62" t="s">
        <v>104</v>
      </c>
      <c r="C5" s="70"/>
    </row>
    <row r="6" spans="1:3" x14ac:dyDescent="0.35">
      <c r="A6" s="23" t="s">
        <v>105</v>
      </c>
      <c r="B6" s="64">
        <v>2.98</v>
      </c>
    </row>
    <row r="7" spans="1:3" x14ac:dyDescent="0.35">
      <c r="A7" s="23" t="s">
        <v>106</v>
      </c>
      <c r="B7" s="64">
        <v>3.19</v>
      </c>
    </row>
    <row r="8" spans="1:3" x14ac:dyDescent="0.35">
      <c r="A8" s="23" t="s">
        <v>107</v>
      </c>
      <c r="B8" s="64">
        <v>2.13</v>
      </c>
    </row>
    <row r="9" spans="1:3" x14ac:dyDescent="0.35">
      <c r="A9" s="23" t="s">
        <v>108</v>
      </c>
      <c r="B9" s="64">
        <v>1.02</v>
      </c>
    </row>
    <row r="10" spans="1:3" x14ac:dyDescent="0.35">
      <c r="A10" s="23" t="s">
        <v>109</v>
      </c>
      <c r="B10" s="64">
        <v>1.86</v>
      </c>
    </row>
    <row r="11" spans="1:3" x14ac:dyDescent="0.35">
      <c r="A11" s="66" t="s">
        <v>110</v>
      </c>
      <c r="B11" s="67">
        <f>MEDIAN(B6:B10)</f>
        <v>2.13</v>
      </c>
    </row>
    <row r="13" spans="1:3" x14ac:dyDescent="0.35">
      <c r="A13" s="65" t="s">
        <v>111</v>
      </c>
    </row>
    <row r="14" spans="1:3" x14ac:dyDescent="0.35">
      <c r="A14" s="23" t="s">
        <v>112</v>
      </c>
      <c r="B14" s="64">
        <f>Historical_FS!G6*1000/Historical_FS!G7</f>
        <v>791.99999997988027</v>
      </c>
    </row>
    <row r="15" spans="1:3" x14ac:dyDescent="0.35">
      <c r="A15" s="23" t="s">
        <v>113</v>
      </c>
      <c r="B15" s="64">
        <f>B11</f>
        <v>2.13</v>
      </c>
    </row>
    <row r="16" spans="1:3" x14ac:dyDescent="0.35">
      <c r="A16" s="23" t="s">
        <v>114</v>
      </c>
      <c r="B16" s="64">
        <f>B14*B15</f>
        <v>1686.9599999571449</v>
      </c>
    </row>
    <row r="17" spans="1:3" x14ac:dyDescent="0.35">
      <c r="A17" s="23" t="s">
        <v>115</v>
      </c>
      <c r="B17" s="64">
        <v>2147.75</v>
      </c>
    </row>
    <row r="18" spans="1:3" x14ac:dyDescent="0.35">
      <c r="A18" s="23" t="s">
        <v>116</v>
      </c>
      <c r="B18" s="68">
        <f>(B16-B17)/B17</f>
        <v>-0.21454545456540805</v>
      </c>
      <c r="C18" s="23" t="s">
        <v>117</v>
      </c>
    </row>
    <row r="19" spans="1:3" x14ac:dyDescent="0.35">
      <c r="C19" s="23" t="s">
        <v>118</v>
      </c>
    </row>
    <row r="20" spans="1:3" x14ac:dyDescent="0.35">
      <c r="C20" s="23" t="s">
        <v>119</v>
      </c>
    </row>
    <row r="21" spans="1:3" x14ac:dyDescent="0.35">
      <c r="A21" s="65" t="s">
        <v>120</v>
      </c>
      <c r="C21" s="23" t="s">
        <v>121</v>
      </c>
    </row>
    <row r="23" spans="1:3" x14ac:dyDescent="0.35">
      <c r="B23" s="62" t="s">
        <v>122</v>
      </c>
      <c r="C23" s="62" t="s">
        <v>123</v>
      </c>
    </row>
    <row r="24" spans="1:3" x14ac:dyDescent="0.35">
      <c r="A24" s="23" t="s">
        <v>124</v>
      </c>
      <c r="B24" s="64">
        <f>Valuation!B31</f>
        <v>3172.6529343864827</v>
      </c>
      <c r="C24" s="64">
        <f>B16</f>
        <v>1686.9599999571449</v>
      </c>
    </row>
    <row r="25" spans="1:3" x14ac:dyDescent="0.35">
      <c r="A25" s="23" t="s">
        <v>125</v>
      </c>
      <c r="B25" s="68">
        <v>0.4</v>
      </c>
      <c r="C25" s="68">
        <v>0.6</v>
      </c>
    </row>
    <row r="26" spans="1:3" x14ac:dyDescent="0.35">
      <c r="A26" s="23" t="s">
        <v>126</v>
      </c>
      <c r="B26" s="64">
        <f>B24*B25+C24*C25</f>
        <v>2281.2371737288804</v>
      </c>
    </row>
    <row r="27" spans="1:3" x14ac:dyDescent="0.35">
      <c r="A27" s="23" t="s">
        <v>40</v>
      </c>
    </row>
    <row r="28" spans="1:3" ht="101.5" customHeight="1" x14ac:dyDescent="0.35">
      <c r="A28" s="69" t="s">
        <v>239</v>
      </c>
    </row>
    <row r="30" spans="1:3" x14ac:dyDescent="0.35">
      <c r="A30" s="23" t="s">
        <v>240</v>
      </c>
    </row>
    <row r="31" spans="1:3" x14ac:dyDescent="0.35">
      <c r="A31" s="23" t="s">
        <v>238</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zoomScale="72" workbookViewId="0">
      <selection activeCell="N26" sqref="N26"/>
    </sheetView>
  </sheetViews>
  <sheetFormatPr defaultRowHeight="14.5" x14ac:dyDescent="0.35"/>
  <cols>
    <col min="1" max="1" width="8.7265625" style="23"/>
    <col min="2" max="2" width="28" style="23" bestFit="1" customWidth="1"/>
    <col min="3" max="3" width="15.90625" style="23" bestFit="1" customWidth="1"/>
    <col min="4" max="16384" width="8.7265625" style="23"/>
  </cols>
  <sheetData>
    <row r="1" spans="1:3" x14ac:dyDescent="0.35">
      <c r="A1" s="18" t="s">
        <v>50</v>
      </c>
      <c r="B1" s="18" t="s">
        <v>71</v>
      </c>
      <c r="C1" s="18" t="s">
        <v>72</v>
      </c>
    </row>
    <row r="2" spans="1:3" x14ac:dyDescent="0.35">
      <c r="A2" s="21" t="s">
        <v>241</v>
      </c>
      <c r="B2" s="20">
        <f>Valuation!B8</f>
        <v>207988361</v>
      </c>
      <c r="C2" s="21"/>
    </row>
    <row r="3" spans="1:3" x14ac:dyDescent="0.35">
      <c r="A3" s="21" t="s">
        <v>242</v>
      </c>
      <c r="B3" s="20">
        <f>Valuation!C8</f>
        <v>231778178</v>
      </c>
      <c r="C3" s="21"/>
    </row>
    <row r="4" spans="1:3" x14ac:dyDescent="0.35">
      <c r="A4" s="21" t="s">
        <v>243</v>
      </c>
      <c r="B4" s="20">
        <f>Valuation!D8</f>
        <v>286349662</v>
      </c>
      <c r="C4" s="21"/>
    </row>
    <row r="5" spans="1:3" x14ac:dyDescent="0.35">
      <c r="A5" s="21" t="s">
        <v>244</v>
      </c>
      <c r="B5" s="20">
        <f>Valuation!E8</f>
        <v>362662001</v>
      </c>
      <c r="C5" s="21"/>
    </row>
    <row r="6" spans="1:3" x14ac:dyDescent="0.35">
      <c r="A6" s="21" t="s">
        <v>245</v>
      </c>
      <c r="B6" s="20">
        <f>Valuation!F8</f>
        <v>433027775</v>
      </c>
      <c r="C6" s="21"/>
    </row>
    <row r="7" spans="1:3" x14ac:dyDescent="0.35">
      <c r="A7" s="21" t="s">
        <v>246</v>
      </c>
      <c r="B7" s="21"/>
      <c r="C7" s="20">
        <f>Valuation!G8</f>
        <v>510972774.5</v>
      </c>
    </row>
    <row r="8" spans="1:3" x14ac:dyDescent="0.35">
      <c r="A8" s="21" t="s">
        <v>247</v>
      </c>
      <c r="B8" s="21"/>
      <c r="C8" s="20">
        <f>Valuation!H8</f>
        <v>602947873.90999997</v>
      </c>
    </row>
    <row r="9" spans="1:3" x14ac:dyDescent="0.35">
      <c r="A9" s="21" t="s">
        <v>248</v>
      </c>
      <c r="B9" s="21"/>
      <c r="C9" s="20">
        <f>Valuation!I8</f>
        <v>711478491.21379995</v>
      </c>
    </row>
    <row r="10" spans="1:3" x14ac:dyDescent="0.35">
      <c r="A10" s="21" t="s">
        <v>249</v>
      </c>
      <c r="B10" s="21"/>
      <c r="C10" s="20">
        <f>Valuation!J8</f>
        <v>839544619.63228393</v>
      </c>
    </row>
    <row r="11" spans="1:3" x14ac:dyDescent="0.35">
      <c r="A11" s="21" t="s">
        <v>250</v>
      </c>
      <c r="B11" s="21"/>
      <c r="C11" s="20">
        <f>Valuation!K8</f>
        <v>990662651.16609502</v>
      </c>
    </row>
    <row r="20" spans="1:3" x14ac:dyDescent="0.35">
      <c r="A20" s="71" t="s">
        <v>50</v>
      </c>
      <c r="B20" s="72" t="s">
        <v>60</v>
      </c>
    </row>
    <row r="21" spans="1:3" x14ac:dyDescent="0.35">
      <c r="A21" s="23" t="s">
        <v>246</v>
      </c>
      <c r="B21" s="73">
        <f>Valuation!G22</f>
        <v>228205724.81309998</v>
      </c>
    </row>
    <row r="22" spans="1:3" x14ac:dyDescent="0.35">
      <c r="A22" s="23" t="s">
        <v>247</v>
      </c>
      <c r="B22" s="73">
        <f>Valuation!H22</f>
        <v>272778294.250323</v>
      </c>
    </row>
    <row r="23" spans="1:3" x14ac:dyDescent="0.35">
      <c r="A23" s="23" t="s">
        <v>248</v>
      </c>
      <c r="B23" s="73">
        <f>Valuation!I22</f>
        <v>326003123.20100188</v>
      </c>
      <c r="C23" s="64"/>
    </row>
    <row r="24" spans="1:3" x14ac:dyDescent="0.35">
      <c r="A24" s="23" t="s">
        <v>249</v>
      </c>
      <c r="B24" s="73">
        <f>Valuation!J22</f>
        <v>389550873.84021455</v>
      </c>
    </row>
    <row r="25" spans="1:3" x14ac:dyDescent="0.35">
      <c r="A25" s="23" t="s">
        <v>250</v>
      </c>
      <c r="B25" s="73">
        <f>Valuation!K22</f>
        <v>465413313.51783139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E444-967C-4762-9C39-7718360B807F}">
  <dimension ref="A1:A20"/>
  <sheetViews>
    <sheetView workbookViewId="0"/>
  </sheetViews>
  <sheetFormatPr defaultRowHeight="14.5" x14ac:dyDescent="0.35"/>
  <cols>
    <col min="1" max="1" width="51.6328125" bestFit="1" customWidth="1"/>
  </cols>
  <sheetData>
    <row r="1" spans="1:1" x14ac:dyDescent="0.35">
      <c r="A1" s="6" t="s">
        <v>205</v>
      </c>
    </row>
    <row r="2" spans="1:1" x14ac:dyDescent="0.35">
      <c r="A2" s="4" t="s">
        <v>206</v>
      </c>
    </row>
    <row r="3" spans="1:1" x14ac:dyDescent="0.35">
      <c r="A3" s="4" t="s">
        <v>207</v>
      </c>
    </row>
    <row r="4" spans="1:1" x14ac:dyDescent="0.35">
      <c r="A4" s="4" t="s">
        <v>208</v>
      </c>
    </row>
    <row r="5" spans="1:1" x14ac:dyDescent="0.35">
      <c r="A5" s="4" t="s">
        <v>209</v>
      </c>
    </row>
    <row r="6" spans="1:1" x14ac:dyDescent="0.35">
      <c r="A6" s="4" t="s">
        <v>210</v>
      </c>
    </row>
    <row r="7" spans="1:1" x14ac:dyDescent="0.35">
      <c r="A7" s="4" t="s">
        <v>211</v>
      </c>
    </row>
    <row r="8" spans="1:1" x14ac:dyDescent="0.35">
      <c r="A8" s="4" t="s">
        <v>212</v>
      </c>
    </row>
    <row r="9" spans="1:1" x14ac:dyDescent="0.35">
      <c r="A9" s="4" t="s">
        <v>213</v>
      </c>
    </row>
    <row r="10" spans="1:1" x14ac:dyDescent="0.35">
      <c r="A10" s="4" t="s">
        <v>214</v>
      </c>
    </row>
    <row r="11" spans="1:1" x14ac:dyDescent="0.35">
      <c r="A11" s="4" t="s">
        <v>215</v>
      </c>
    </row>
    <row r="12" spans="1:1" x14ac:dyDescent="0.35">
      <c r="A12" s="4" t="s">
        <v>216</v>
      </c>
    </row>
    <row r="13" spans="1:1" x14ac:dyDescent="0.35">
      <c r="A13" s="4" t="s">
        <v>217</v>
      </c>
    </row>
    <row r="14" spans="1:1" x14ac:dyDescent="0.35">
      <c r="A14" s="4" t="s">
        <v>218</v>
      </c>
    </row>
    <row r="15" spans="1:1" x14ac:dyDescent="0.35">
      <c r="A15" s="4" t="s">
        <v>219</v>
      </c>
    </row>
    <row r="16" spans="1:1" x14ac:dyDescent="0.35">
      <c r="A16" s="4" t="s">
        <v>220</v>
      </c>
    </row>
    <row r="17" spans="1:1" x14ac:dyDescent="0.35">
      <c r="A17" s="4" t="s">
        <v>221</v>
      </c>
    </row>
    <row r="18" spans="1:1" x14ac:dyDescent="0.35">
      <c r="A18" s="4" t="s">
        <v>222</v>
      </c>
    </row>
    <row r="19" spans="1:1" x14ac:dyDescent="0.35">
      <c r="A19" s="4" t="s">
        <v>223</v>
      </c>
    </row>
    <row r="20" spans="1:1" x14ac:dyDescent="0.35">
      <c r="A20" s="4" t="s">
        <v>224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zoomScale="70" zoomScaleNormal="70" workbookViewId="0">
      <selection activeCell="E22" sqref="E22"/>
    </sheetView>
  </sheetViews>
  <sheetFormatPr defaultRowHeight="14.5" x14ac:dyDescent="0.35"/>
  <cols>
    <col min="1" max="1" width="65" style="23" customWidth="1"/>
    <col min="2" max="2" width="24" style="23" customWidth="1"/>
    <col min="3" max="3" width="8" style="23" customWidth="1"/>
    <col min="4" max="4" width="14" style="23" customWidth="1"/>
    <col min="5" max="5" width="27" style="23" customWidth="1"/>
    <col min="6" max="6" width="16" style="23" customWidth="1"/>
    <col min="7" max="16384" width="8.7265625" style="23"/>
  </cols>
  <sheetData>
    <row r="1" spans="1:6" ht="17" customHeight="1" x14ac:dyDescent="0.4">
      <c r="A1" s="74" t="s">
        <v>127</v>
      </c>
      <c r="B1" s="75"/>
      <c r="C1" s="75"/>
      <c r="D1" s="75"/>
      <c r="E1" s="75"/>
      <c r="F1" s="75"/>
    </row>
    <row r="2" spans="1:6" x14ac:dyDescent="0.35">
      <c r="A2" s="76" t="s">
        <v>128</v>
      </c>
      <c r="B2" s="75"/>
      <c r="C2" s="75"/>
      <c r="D2" s="75"/>
      <c r="E2" s="75"/>
      <c r="F2" s="75"/>
    </row>
    <row r="4" spans="1:6" x14ac:dyDescent="0.35">
      <c r="A4" s="65" t="s">
        <v>129</v>
      </c>
    </row>
    <row r="6" spans="1:6" x14ac:dyDescent="0.35">
      <c r="A6" s="77" t="s">
        <v>130</v>
      </c>
      <c r="B6" s="77" t="s">
        <v>131</v>
      </c>
      <c r="C6" s="77" t="s">
        <v>132</v>
      </c>
      <c r="D6" s="77" t="s">
        <v>133</v>
      </c>
      <c r="E6" s="65" t="s">
        <v>134</v>
      </c>
    </row>
    <row r="7" spans="1:6" x14ac:dyDescent="0.35">
      <c r="A7" s="21" t="s">
        <v>135</v>
      </c>
      <c r="B7" s="78">
        <f>Valuation!B31</f>
        <v>3172.6529343864827</v>
      </c>
      <c r="C7" s="79">
        <v>0.4</v>
      </c>
      <c r="D7" s="78">
        <f>B7*C7</f>
        <v>1269.0611737545933</v>
      </c>
      <c r="E7" s="23" t="s">
        <v>136</v>
      </c>
      <c r="F7" s="63">
        <f>WACC!B6</f>
        <v>6.5500000000000003E-2</v>
      </c>
    </row>
    <row r="8" spans="1:6" x14ac:dyDescent="0.35">
      <c r="A8" s="21" t="s">
        <v>137</v>
      </c>
      <c r="B8" s="78">
        <f>'Price to Book Analysis'!B16</f>
        <v>1686.9599999571449</v>
      </c>
      <c r="C8" s="79">
        <v>0.6</v>
      </c>
      <c r="D8" s="78">
        <f>B8*C8</f>
        <v>1012.1759999742869</v>
      </c>
      <c r="E8" s="23" t="s">
        <v>138</v>
      </c>
      <c r="F8" s="63">
        <f>WACC!B7</f>
        <v>7.0000000000000007E-2</v>
      </c>
    </row>
    <row r="9" spans="1:6" x14ac:dyDescent="0.35">
      <c r="A9" s="21" t="s">
        <v>139</v>
      </c>
      <c r="B9" s="80">
        <f>D7+D8</f>
        <v>2281.2371737288804</v>
      </c>
      <c r="C9" s="21"/>
      <c r="D9" s="21"/>
      <c r="E9" s="23" t="s">
        <v>140</v>
      </c>
      <c r="F9" s="64">
        <f>WACC!B14</f>
        <v>0.6</v>
      </c>
    </row>
    <row r="10" spans="1:6" x14ac:dyDescent="0.35">
      <c r="A10" s="21"/>
      <c r="B10" s="21"/>
      <c r="C10" s="21"/>
      <c r="D10" s="21"/>
      <c r="E10" s="23" t="s">
        <v>141</v>
      </c>
      <c r="F10" s="63">
        <f>WACC!B18</f>
        <v>0.10750000000000001</v>
      </c>
    </row>
    <row r="11" spans="1:6" x14ac:dyDescent="0.35">
      <c r="A11" s="21" t="s">
        <v>115</v>
      </c>
      <c r="B11" s="78">
        <f>'Price to Book Analysis'!B17</f>
        <v>2147.75</v>
      </c>
      <c r="C11" s="21"/>
      <c r="D11" s="21"/>
      <c r="E11" s="23" t="s">
        <v>142</v>
      </c>
      <c r="F11" s="63">
        <f>Valuation!B25</f>
        <v>0.05</v>
      </c>
    </row>
    <row r="12" spans="1:6" x14ac:dyDescent="0.35">
      <c r="A12" s="21" t="s">
        <v>116</v>
      </c>
      <c r="B12" s="79">
        <f>(B9-B11)/B11</f>
        <v>6.2152100444130096E-2</v>
      </c>
      <c r="C12" s="21"/>
      <c r="D12" s="21"/>
    </row>
  </sheetData>
  <mergeCells count="2">
    <mergeCell ref="A1:F1"/>
    <mergeCell ref="A2:F2"/>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6"/>
  <sheetViews>
    <sheetView zoomScale="83" workbookViewId="0">
      <selection activeCell="D19" sqref="D19"/>
    </sheetView>
  </sheetViews>
  <sheetFormatPr defaultRowHeight="14.5" x14ac:dyDescent="0.35"/>
  <cols>
    <col min="1" max="1" width="46.6328125" style="23" customWidth="1"/>
    <col min="2" max="5" width="18.08984375" style="23" bestFit="1" customWidth="1"/>
    <col min="6" max="6" width="19.90625" style="23" bestFit="1" customWidth="1"/>
    <col min="7" max="7" width="21.1796875" style="23" bestFit="1" customWidth="1"/>
    <col min="8" max="16384" width="8.7265625" style="23"/>
  </cols>
  <sheetData>
    <row r="1" spans="1:7" x14ac:dyDescent="0.35">
      <c r="A1" s="1" t="s">
        <v>77</v>
      </c>
    </row>
    <row r="2" spans="1:7" x14ac:dyDescent="0.35">
      <c r="A2" s="24" t="s">
        <v>143</v>
      </c>
      <c r="E2" s="11" t="s">
        <v>68</v>
      </c>
      <c r="F2" s="81">
        <f>Valuation!K39</f>
        <v>1988096870</v>
      </c>
    </row>
    <row r="3" spans="1:7" x14ac:dyDescent="0.35">
      <c r="A3" s="18" t="s">
        <v>144</v>
      </c>
      <c r="B3" s="18" t="s">
        <v>145</v>
      </c>
      <c r="C3" s="18" t="s">
        <v>146</v>
      </c>
      <c r="D3" s="18" t="s">
        <v>147</v>
      </c>
      <c r="E3" s="18" t="s">
        <v>148</v>
      </c>
    </row>
    <row r="4" spans="1:7" x14ac:dyDescent="0.35">
      <c r="A4" s="21" t="s">
        <v>149</v>
      </c>
      <c r="B4" s="82">
        <f>($G$13 + (Valuation!$K$22*(1+$A4)/(0.1-$A4))/(1+0.1)^5)*1000/$F$2</f>
        <v>3139.6634480611069</v>
      </c>
      <c r="C4" s="82">
        <f>($G$14 + (Valuation!$K$22*(1+$A4)/(0.1075-$A4))/(1+0.1075)^5)*1000/$F$2</f>
        <v>2771.7357203498295</v>
      </c>
      <c r="D4" s="82">
        <f>($G$15 + (Valuation!$K$22*(1+$A4)/(0.115-$A4))/(1+0.115)^5)*1000/$F$2</f>
        <v>2477.8606479908217</v>
      </c>
      <c r="E4" s="82">
        <f>($G$16 + (Valuation!$K$22*(1+$A4)/(0.12-$A4))/(1+0.12)^5)*1000/$F$2</f>
        <v>2312.7915731466423</v>
      </c>
    </row>
    <row r="5" spans="1:7" x14ac:dyDescent="0.35">
      <c r="A5" s="21" t="s">
        <v>150</v>
      </c>
      <c r="B5" s="82">
        <f>($G$13 + (Valuation!$K$22*(1+$A5)/(0.1-$A5))/(1+0.1)^5)*1000/$F$2</f>
        <v>3381.9261657046027</v>
      </c>
      <c r="C5" s="82">
        <f>($G$14 + (Valuation!$K$22*(1+$A5)/(0.1075-$A5))/(1+0.1075)^5)*1000/$F$2</f>
        <v>2956.1576388066906</v>
      </c>
      <c r="D5" s="82">
        <f>($G$15 + (Valuation!$K$22*(1+$A5)/(0.115-$A5))/(1+0.115)^5)*1000/$F$2</f>
        <v>2622.1095420959355</v>
      </c>
      <c r="E5" s="82">
        <f>($G$16 + (Valuation!$K$22*(1+$A5)/(0.12-$A5))/(1+0.12)^5)*1000/$F$2</f>
        <v>2436.770514655193</v>
      </c>
    </row>
    <row r="6" spans="1:7" x14ac:dyDescent="0.35">
      <c r="A6" s="21" t="s">
        <v>151</v>
      </c>
      <c r="B6" s="82">
        <f>($G$13 + (Valuation!$K$22*(1+$A6)/(0.1-$A6))/(1+0.1)^5)*1000/$F$2</f>
        <v>3672.641426876799</v>
      </c>
      <c r="C6" s="82">
        <f>($G$14 + (Valuation!$K$22*(1+$A6)/(0.1075-$A6))/(1+0.1075)^5)*1000/$F$2</f>
        <v>3172.652934386484</v>
      </c>
      <c r="D6" s="82">
        <f>($G$15 + (Valuation!$K$22*(1+$A6)/(0.115-$A6))/(1+0.115)^5)*1000/$F$2</f>
        <v>2788.5505737556828</v>
      </c>
      <c r="E6" s="82">
        <f>($G$16 + (Valuation!$K$22*(1+$A6)/(0.12-$A6))/(1+0.12)^5)*1000/$F$2</f>
        <v>2578.4607335221099</v>
      </c>
    </row>
    <row r="7" spans="1:7" x14ac:dyDescent="0.35">
      <c r="A7" s="21" t="s">
        <v>152</v>
      </c>
      <c r="B7" s="82">
        <f>($G$13 + (Valuation!$K$22*(1+$A7)/(0.1-$A7))/(1+0.1)^5)*1000/$F$2</f>
        <v>4027.960079420593</v>
      </c>
      <c r="C7" s="82">
        <f>($G$14 + (Valuation!$K$22*(1+$A7)/(0.1075-$A7))/(1+0.1075)^5)*1000/$F$2</f>
        <v>3430.3854291243319</v>
      </c>
      <c r="D7" s="82">
        <f>($G$15 + (Valuation!$K$22*(1+$A7)/(0.115-$A7))/(1+0.115)^5)*1000/$F$2</f>
        <v>2982.7317773587201</v>
      </c>
      <c r="E7" s="82">
        <f>($G$16 + (Valuation!$K$22*(1+$A7)/(0.12-$A7))/(1+0.12)^5)*1000/$F$2</f>
        <v>2741.9494475993206</v>
      </c>
    </row>
    <row r="8" spans="1:7" x14ac:dyDescent="0.35">
      <c r="A8" s="21" t="s">
        <v>153</v>
      </c>
      <c r="B8" s="82">
        <f>($G$13 + (Valuation!$K$22*(1+$A8)/(0.1-$A8))/(1+0.1)^5)*1000/$F$2</f>
        <v>4472.1083951003357</v>
      </c>
      <c r="C8" s="82">
        <f>($G$14 + (Valuation!$K$22*(1+$A8)/(0.1075-$A8))/(1+0.1075)^5)*1000/$F$2</f>
        <v>3742.37739643857</v>
      </c>
      <c r="D8" s="82">
        <f>($G$15 + (Valuation!$K$22*(1+$A8)/(0.115-$A8))/(1+0.115)^5)*1000/$F$2</f>
        <v>3212.2186543441285</v>
      </c>
      <c r="E8" s="82">
        <f>($G$16 + (Valuation!$K$22*(1+$A8)/(0.12-$A8))/(1+0.12)^5)*1000/$F$2</f>
        <v>2932.6862806894001</v>
      </c>
    </row>
    <row r="11" spans="1:7" x14ac:dyDescent="0.35">
      <c r="A11" s="18" t="s">
        <v>50</v>
      </c>
      <c r="B11" s="19" t="s">
        <v>246</v>
      </c>
      <c r="C11" s="19" t="s">
        <v>247</v>
      </c>
      <c r="D11" s="19" t="s">
        <v>248</v>
      </c>
      <c r="E11" s="19" t="s">
        <v>249</v>
      </c>
      <c r="F11" s="19" t="s">
        <v>250</v>
      </c>
      <c r="G11" s="18" t="s">
        <v>154</v>
      </c>
    </row>
    <row r="12" spans="1:7" x14ac:dyDescent="0.35">
      <c r="A12" s="21" t="s">
        <v>155</v>
      </c>
      <c r="B12" s="83">
        <f>Valuation!G22</f>
        <v>228205724.81309998</v>
      </c>
      <c r="C12" s="83">
        <f>Valuation!H22</f>
        <v>272778294.250323</v>
      </c>
      <c r="D12" s="83">
        <f>Valuation!I22</f>
        <v>326003123.20100188</v>
      </c>
      <c r="E12" s="83">
        <f>Valuation!J22</f>
        <v>389550873.84021455</v>
      </c>
      <c r="F12" s="83">
        <f>Valuation!K22</f>
        <v>465413313.51783139</v>
      </c>
      <c r="G12" s="83"/>
    </row>
    <row r="13" spans="1:7" x14ac:dyDescent="0.35">
      <c r="A13" s="10">
        <v>0.1</v>
      </c>
      <c r="B13" s="83">
        <f>B12/(1+0.1)^1</f>
        <v>207459749.83009088</v>
      </c>
      <c r="C13" s="83">
        <f>C12/(1+0.1)^2</f>
        <v>225436606.81844872</v>
      </c>
      <c r="D13" s="83">
        <f>D12/(1+0.1)^3</f>
        <v>244930971.60105318</v>
      </c>
      <c r="E13" s="83">
        <f>E12/(1+0.1)^4</f>
        <v>266068488.38208759</v>
      </c>
      <c r="F13" s="83">
        <f>F12/(1+0.1)^5</f>
        <v>288985050.39883715</v>
      </c>
      <c r="G13" s="84">
        <f>B13+C13+D13+E13+F13</f>
        <v>1232880867.0305176</v>
      </c>
    </row>
    <row r="14" spans="1:7" x14ac:dyDescent="0.35">
      <c r="A14" s="10">
        <v>0.1075</v>
      </c>
      <c r="B14" s="83">
        <f>B12/(1+0.1075)^1</f>
        <v>206054830.53101578</v>
      </c>
      <c r="C14" s="83">
        <f>C12/(1+0.1075)^2</f>
        <v>222393627.89136091</v>
      </c>
      <c r="D14" s="83">
        <f>D12/(1+0.1075)^3</f>
        <v>239988568.96148351</v>
      </c>
      <c r="E14" s="83">
        <f>E12/(1+0.1075)^4</f>
        <v>258934097.16733208</v>
      </c>
      <c r="F14" s="83">
        <f>F12/(1+0.1075)^5</f>
        <v>279331637.9450891</v>
      </c>
      <c r="G14" s="84">
        <f>B14+C14+D14+E14+F14</f>
        <v>1206702762.4962814</v>
      </c>
    </row>
    <row r="15" spans="1:7" x14ac:dyDescent="0.35">
      <c r="A15" s="10">
        <v>0.115</v>
      </c>
      <c r="B15" s="83">
        <f>B12/(1+0.115)^1</f>
        <v>204668811.49156949</v>
      </c>
      <c r="C15" s="83">
        <f>C12/(1+0.115)^2</f>
        <v>219411847.61432806</v>
      </c>
      <c r="D15" s="83">
        <f>D12/(1+0.115)^3</f>
        <v>235178252.28054574</v>
      </c>
      <c r="E15" s="83">
        <f>E12/(1+0.115)^4</f>
        <v>252037238.98155007</v>
      </c>
      <c r="F15" s="83">
        <f>F12/(1+0.115)^5</f>
        <v>270062613.10753804</v>
      </c>
      <c r="G15" s="84">
        <f>B15+C15+D15+E15+F15</f>
        <v>1181358763.4755313</v>
      </c>
    </row>
    <row r="16" spans="1:7" x14ac:dyDescent="0.35">
      <c r="A16" s="10">
        <v>0.12</v>
      </c>
      <c r="B16" s="83">
        <f>B12/(1+0.12)^1</f>
        <v>203755111.44026783</v>
      </c>
      <c r="C16" s="83">
        <f>C12/(1+0.12)^2</f>
        <v>217457186.10516816</v>
      </c>
      <c r="D16" s="83">
        <f>D12/(1+0.12)^3</f>
        <v>232042583.81995505</v>
      </c>
      <c r="E16" s="83">
        <f>E12/(1+0.12)^4</f>
        <v>247566622.78385597</v>
      </c>
      <c r="F16" s="83">
        <f>F12/(1+0.12)^5</f>
        <v>264088013.09899771</v>
      </c>
      <c r="G16" s="84">
        <f>B16+C16+D16+E16+F16</f>
        <v>1164909517.2482448</v>
      </c>
    </row>
    <row r="19" spans="1:1" x14ac:dyDescent="0.35">
      <c r="A19" s="24" t="s">
        <v>40</v>
      </c>
    </row>
    <row r="20" spans="1:1" x14ac:dyDescent="0.35">
      <c r="A20" s="23" t="s">
        <v>255</v>
      </c>
    </row>
    <row r="21" spans="1:1" x14ac:dyDescent="0.35">
      <c r="A21" s="23" t="s">
        <v>256</v>
      </c>
    </row>
    <row r="22" spans="1:1" x14ac:dyDescent="0.35">
      <c r="A22" s="23" t="s">
        <v>157</v>
      </c>
    </row>
    <row r="23" spans="1:1" x14ac:dyDescent="0.35">
      <c r="A23" s="23" t="s">
        <v>257</v>
      </c>
    </row>
    <row r="24" spans="1:1" x14ac:dyDescent="0.35">
      <c r="A24" s="23" t="s">
        <v>258</v>
      </c>
    </row>
    <row r="25" spans="1:1" x14ac:dyDescent="0.35">
      <c r="A25" s="23" t="s">
        <v>158</v>
      </c>
    </row>
    <row r="26" spans="1:1" x14ac:dyDescent="0.35">
      <c r="A26" s="23" t="s">
        <v>159</v>
      </c>
    </row>
    <row r="27" spans="1:1" x14ac:dyDescent="0.35">
      <c r="A27" s="23" t="s">
        <v>160</v>
      </c>
    </row>
    <row r="28" spans="1:1" x14ac:dyDescent="0.35">
      <c r="A28" s="85" t="s">
        <v>161</v>
      </c>
    </row>
    <row r="29" spans="1:1" x14ac:dyDescent="0.35">
      <c r="A29" s="85" t="s">
        <v>162</v>
      </c>
    </row>
    <row r="30" spans="1:1" x14ac:dyDescent="0.35">
      <c r="A30" s="85" t="s">
        <v>163</v>
      </c>
    </row>
    <row r="33" spans="1:2" x14ac:dyDescent="0.35">
      <c r="A33" s="23" t="s">
        <v>164</v>
      </c>
    </row>
    <row r="34" spans="1:2" x14ac:dyDescent="0.35">
      <c r="A34" s="23" t="s">
        <v>165</v>
      </c>
    </row>
    <row r="35" spans="1:2" x14ac:dyDescent="0.35">
      <c r="A35" s="23" t="s">
        <v>166</v>
      </c>
    </row>
    <row r="37" spans="1:2" x14ac:dyDescent="0.35">
      <c r="A37" s="12" t="s">
        <v>156</v>
      </c>
      <c r="B37" s="12" t="s">
        <v>167</v>
      </c>
    </row>
    <row r="38" spans="1:2" ht="145" customHeight="1" x14ac:dyDescent="0.35">
      <c r="A38" s="13">
        <v>0.1</v>
      </c>
      <c r="B38" s="86" t="s">
        <v>168</v>
      </c>
    </row>
    <row r="39" spans="1:2" ht="72.5" customHeight="1" x14ac:dyDescent="0.35">
      <c r="A39" s="13">
        <v>0.1075</v>
      </c>
      <c r="B39" s="86" t="s">
        <v>169</v>
      </c>
    </row>
    <row r="40" spans="1:2" ht="43.5" customHeight="1" x14ac:dyDescent="0.35">
      <c r="A40" s="13">
        <v>0.115</v>
      </c>
      <c r="B40" s="86" t="s">
        <v>170</v>
      </c>
    </row>
    <row r="41" spans="1:2" ht="130.5" customHeight="1" x14ac:dyDescent="0.35">
      <c r="A41" s="13">
        <v>0.12</v>
      </c>
      <c r="B41" s="86" t="s">
        <v>171</v>
      </c>
    </row>
    <row r="42" spans="1:2" x14ac:dyDescent="0.35">
      <c r="A42" s="23" t="s">
        <v>172</v>
      </c>
    </row>
    <row r="43" spans="1:2" x14ac:dyDescent="0.35">
      <c r="A43" s="23" t="s">
        <v>173</v>
      </c>
    </row>
    <row r="44" spans="1:2" x14ac:dyDescent="0.35">
      <c r="A44" s="23" t="s">
        <v>259</v>
      </c>
    </row>
    <row r="45" spans="1:2" x14ac:dyDescent="0.35">
      <c r="A45" s="23" t="s">
        <v>174</v>
      </c>
    </row>
    <row r="46" spans="1:2" x14ac:dyDescent="0.35">
      <c r="A46" s="23" t="s">
        <v>175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9"/>
  <sheetViews>
    <sheetView zoomScale="63" workbookViewId="0">
      <selection activeCell="B28" sqref="B28"/>
    </sheetView>
  </sheetViews>
  <sheetFormatPr defaultRowHeight="14.5" x14ac:dyDescent="0.35"/>
  <cols>
    <col min="1" max="1" width="29.1796875" style="23" customWidth="1"/>
    <col min="2" max="2" width="139.81640625" style="23" bestFit="1" customWidth="1"/>
    <col min="3" max="16384" width="8.7265625" style="23"/>
  </cols>
  <sheetData>
    <row r="1" spans="1:2" ht="18.5" x14ac:dyDescent="0.45">
      <c r="A1" s="88" t="s">
        <v>264</v>
      </c>
    </row>
    <row r="3" spans="1:2" x14ac:dyDescent="0.35">
      <c r="A3" s="24" t="s">
        <v>176</v>
      </c>
      <c r="B3" s="24" t="s">
        <v>177</v>
      </c>
    </row>
    <row r="4" spans="1:2" x14ac:dyDescent="0.35">
      <c r="A4" s="23" t="s">
        <v>178</v>
      </c>
      <c r="B4" s="87" t="s">
        <v>179</v>
      </c>
    </row>
    <row r="5" spans="1:2" x14ac:dyDescent="0.35">
      <c r="A5" s="23" t="s">
        <v>180</v>
      </c>
      <c r="B5" s="87" t="s">
        <v>181</v>
      </c>
    </row>
    <row r="6" spans="1:2" x14ac:dyDescent="0.35">
      <c r="A6" s="23" t="s">
        <v>182</v>
      </c>
      <c r="B6" s="87" t="s">
        <v>183</v>
      </c>
    </row>
    <row r="7" spans="1:2" x14ac:dyDescent="0.35">
      <c r="A7" s="23" t="s">
        <v>184</v>
      </c>
      <c r="B7" s="87" t="s">
        <v>185</v>
      </c>
    </row>
    <row r="8" spans="1:2" x14ac:dyDescent="0.35">
      <c r="A8" s="23" t="s">
        <v>186</v>
      </c>
      <c r="B8" s="87" t="s">
        <v>187</v>
      </c>
    </row>
    <row r="9" spans="1:2" x14ac:dyDescent="0.35">
      <c r="A9" s="23" t="s">
        <v>188</v>
      </c>
      <c r="B9" s="87" t="s">
        <v>189</v>
      </c>
    </row>
    <row r="10" spans="1:2" x14ac:dyDescent="0.35">
      <c r="A10" s="23" t="s">
        <v>190</v>
      </c>
      <c r="B10" s="87" t="s">
        <v>191</v>
      </c>
    </row>
    <row r="11" spans="1:2" x14ac:dyDescent="0.35">
      <c r="A11" s="23" t="s">
        <v>192</v>
      </c>
      <c r="B11" s="87" t="s">
        <v>193</v>
      </c>
    </row>
    <row r="12" spans="1:2" x14ac:dyDescent="0.35">
      <c r="A12" s="23" t="s">
        <v>194</v>
      </c>
      <c r="B12" s="87" t="s">
        <v>195</v>
      </c>
    </row>
    <row r="13" spans="1:2" x14ac:dyDescent="0.35">
      <c r="A13" s="23" t="s">
        <v>196</v>
      </c>
      <c r="B13" s="87" t="s">
        <v>197</v>
      </c>
    </row>
    <row r="14" spans="1:2" x14ac:dyDescent="0.35">
      <c r="A14" s="23" t="s">
        <v>198</v>
      </c>
      <c r="B14" s="87" t="s">
        <v>199</v>
      </c>
    </row>
    <row r="15" spans="1:2" x14ac:dyDescent="0.35">
      <c r="A15" s="23" t="s">
        <v>200</v>
      </c>
      <c r="B15" s="87" t="s">
        <v>201</v>
      </c>
    </row>
    <row r="16" spans="1:2" x14ac:dyDescent="0.35">
      <c r="A16" s="23" t="s">
        <v>80</v>
      </c>
      <c r="B16" s="87" t="s">
        <v>260</v>
      </c>
    </row>
    <row r="17" spans="1:2" x14ac:dyDescent="0.35">
      <c r="A17" s="23" t="s">
        <v>202</v>
      </c>
      <c r="B17" s="23" t="s">
        <v>261</v>
      </c>
    </row>
    <row r="18" spans="1:2" x14ac:dyDescent="0.35">
      <c r="A18" s="23" t="s">
        <v>203</v>
      </c>
      <c r="B18" s="23" t="s">
        <v>263</v>
      </c>
    </row>
    <row r="19" spans="1:2" x14ac:dyDescent="0.35">
      <c r="A19" s="23" t="s">
        <v>204</v>
      </c>
      <c r="B19" s="87" t="s">
        <v>262</v>
      </c>
    </row>
  </sheetData>
  <hyperlinks>
    <hyperlink ref="B4" r:id="rId1" xr:uid="{00000000-0004-0000-0700-000000000000}"/>
    <hyperlink ref="B15" r:id="rId2" xr:uid="{00000000-0004-0000-0700-000001000000}"/>
    <hyperlink ref="B5" r:id="rId3" xr:uid="{2DB7EF91-6DCD-459C-B61C-20EB31065A71}"/>
    <hyperlink ref="B6" r:id="rId4" xr:uid="{6862F2BB-0292-4828-A2EC-4CD08998E8DD}"/>
    <hyperlink ref="B7" r:id="rId5" xr:uid="{3307DDB7-3618-439C-A603-150626F95545}"/>
    <hyperlink ref="B8" r:id="rId6" xr:uid="{F9155194-671E-44B3-A34A-AA73064E4511}"/>
    <hyperlink ref="B9" r:id="rId7" xr:uid="{095B8DE9-1746-460D-9893-09BD158A450E}"/>
    <hyperlink ref="B10" r:id="rId8" xr:uid="{CBC98F15-7B34-4C52-B13D-A06BBE312E88}"/>
    <hyperlink ref="B11" r:id="rId9" xr:uid="{F4D40841-06D0-47DF-89CB-8AC15A847C24}"/>
    <hyperlink ref="B12" r:id="rId10" xr:uid="{68953A6C-766A-432F-BE67-2AB1C81F46FF}"/>
    <hyperlink ref="B13" r:id="rId11" xr:uid="{7E4AA242-CD19-43D9-AD3A-D50AEFCF8C98}"/>
    <hyperlink ref="B14" r:id="rId12" xr:uid="{405B0EDE-5709-413D-8413-C39C7A1359B0}"/>
    <hyperlink ref="B16" r:id="rId13" xr:uid="{7AB5F954-E73A-4571-AD29-912BA553B9ED}"/>
    <hyperlink ref="B19" r:id="rId14" xr:uid="{70F2AFF8-7582-4B24-82A8-47F4296D972F}"/>
  </hyperlinks>
  <pageMargins left="0.75" right="0.75" top="1" bottom="1" header="0.5" footer="0.5"/>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Historical_FS</vt:lpstr>
      <vt:lpstr>Valuation</vt:lpstr>
      <vt:lpstr>WACC</vt:lpstr>
      <vt:lpstr>Price to Book Analysis</vt:lpstr>
      <vt:lpstr>Charts</vt:lpstr>
      <vt:lpstr>subsidiaries name</vt:lpstr>
      <vt:lpstr>Summary</vt:lpstr>
      <vt:lpstr>Notes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vikas gupta</cp:lastModifiedBy>
  <dcterms:created xsi:type="dcterms:W3CDTF">2025-11-30T12:13:41Z</dcterms:created>
  <dcterms:modified xsi:type="dcterms:W3CDTF">2025-12-05T23:44:17Z</dcterms:modified>
</cp:coreProperties>
</file>